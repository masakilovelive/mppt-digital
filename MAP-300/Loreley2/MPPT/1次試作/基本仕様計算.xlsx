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E-Hayashi\Documents\Loreley2\MPPT\1次試作\"/>
    </mc:Choice>
  </mc:AlternateContent>
  <xr:revisionPtr revIDLastSave="0" documentId="13_ncr:1_{A9EDE9DA-ADE7-4F7C-A019-EBD6F163A482}" xr6:coauthVersionLast="47" xr6:coauthVersionMax="47" xr10:uidLastSave="{00000000-0000-0000-0000-000000000000}"/>
  <bookViews>
    <workbookView xWindow="-120" yWindow="-120" windowWidth="29040" windowHeight="15840" xr2:uid="{EEEC98B6-9DDE-4621-B6BE-2A3DB463EA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5" i="1" l="1"/>
  <c r="X26" i="1"/>
  <c r="X24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" i="1"/>
  <c r="U9" i="1"/>
  <c r="T9" i="1"/>
  <c r="S9" i="1"/>
  <c r="R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C9" i="1"/>
  <c r="J15" i="1"/>
  <c r="J16" i="1"/>
  <c r="J17" i="1"/>
  <c r="J18" i="1"/>
  <c r="J19" i="1"/>
  <c r="J20" i="1"/>
  <c r="J21" i="1"/>
  <c r="J22" i="1"/>
  <c r="J23" i="1"/>
  <c r="J14" i="1"/>
  <c r="I15" i="1"/>
  <c r="I16" i="1"/>
  <c r="I17" i="1"/>
  <c r="I18" i="1"/>
  <c r="I19" i="1"/>
  <c r="I20" i="1"/>
  <c r="I21" i="1"/>
  <c r="I22" i="1"/>
  <c r="I23" i="1"/>
  <c r="I14" i="1"/>
  <c r="H15" i="1"/>
  <c r="H16" i="1"/>
  <c r="H17" i="1"/>
  <c r="H18" i="1"/>
  <c r="H19" i="1"/>
  <c r="H20" i="1"/>
  <c r="H21" i="1"/>
  <c r="H22" i="1"/>
  <c r="H23" i="1"/>
  <c r="H14" i="1"/>
  <c r="G15" i="1"/>
  <c r="G16" i="1"/>
  <c r="G17" i="1"/>
  <c r="G18" i="1"/>
  <c r="G19" i="1"/>
  <c r="G20" i="1"/>
  <c r="G21" i="1"/>
  <c r="G22" i="1"/>
  <c r="G23" i="1"/>
  <c r="G14" i="1"/>
  <c r="F15" i="1"/>
  <c r="F16" i="1"/>
  <c r="F17" i="1"/>
  <c r="F18" i="1"/>
  <c r="F19" i="1"/>
  <c r="F20" i="1"/>
  <c r="F21" i="1"/>
  <c r="F22" i="1"/>
  <c r="F23" i="1"/>
  <c r="F14" i="1"/>
  <c r="E15" i="1"/>
  <c r="E16" i="1"/>
  <c r="E17" i="1"/>
  <c r="E18" i="1"/>
  <c r="E19" i="1"/>
  <c r="E20" i="1"/>
  <c r="E21" i="1"/>
  <c r="E22" i="1"/>
  <c r="E23" i="1"/>
  <c r="E14" i="1"/>
  <c r="D15" i="1"/>
  <c r="D16" i="1"/>
  <c r="D17" i="1"/>
  <c r="D18" i="1"/>
  <c r="D19" i="1"/>
  <c r="D20" i="1"/>
  <c r="D21" i="1"/>
  <c r="D22" i="1"/>
  <c r="D23" i="1"/>
  <c r="D14" i="1"/>
  <c r="C23" i="1"/>
  <c r="C15" i="1"/>
  <c r="C16" i="1"/>
  <c r="C17" i="1"/>
  <c r="C18" i="1"/>
  <c r="C19" i="1"/>
  <c r="C20" i="1"/>
  <c r="C21" i="1"/>
  <c r="C22" i="1"/>
  <c r="C14" i="1"/>
  <c r="F8" i="1"/>
  <c r="L8" i="1"/>
  <c r="D2" i="1"/>
  <c r="D3" i="1" s="1"/>
  <c r="D6" i="1" s="1"/>
  <c r="E2" i="1"/>
  <c r="E3" i="1" s="1"/>
  <c r="E6" i="1" s="1"/>
  <c r="F2" i="1"/>
  <c r="F3" i="1" s="1"/>
  <c r="F6" i="1" s="1"/>
  <c r="G2" i="1"/>
  <c r="G3" i="1" s="1"/>
  <c r="G6" i="1" s="1"/>
  <c r="H2" i="1"/>
  <c r="H3" i="1" s="1"/>
  <c r="H6" i="1" s="1"/>
  <c r="I2" i="1"/>
  <c r="I3" i="1" s="1"/>
  <c r="I6" i="1" s="1"/>
  <c r="J2" i="1"/>
  <c r="J3" i="1" s="1"/>
  <c r="J7" i="1" s="1"/>
  <c r="K2" i="1"/>
  <c r="K3" i="1" s="1"/>
  <c r="K7" i="1" s="1"/>
  <c r="L2" i="1"/>
  <c r="L3" i="1" s="1"/>
  <c r="L7" i="1" s="1"/>
  <c r="M2" i="1"/>
  <c r="M3" i="1" s="1"/>
  <c r="M6" i="1" s="1"/>
  <c r="N2" i="1"/>
  <c r="N3" i="1" s="1"/>
  <c r="N7" i="1" s="1"/>
  <c r="O2" i="1"/>
  <c r="O3" i="1" s="1"/>
  <c r="O7" i="1" s="1"/>
  <c r="P2" i="1"/>
  <c r="P3" i="1" s="1"/>
  <c r="P6" i="1" s="1"/>
  <c r="Q2" i="1"/>
  <c r="Q3" i="1" s="1"/>
  <c r="Q6" i="1" s="1"/>
  <c r="R2" i="1"/>
  <c r="R3" i="1" s="1"/>
  <c r="R6" i="1" s="1"/>
  <c r="S2" i="1"/>
  <c r="S3" i="1" s="1"/>
  <c r="S8" i="1" s="1"/>
  <c r="T2" i="1"/>
  <c r="T3" i="1" s="1"/>
  <c r="T6" i="1" s="1"/>
  <c r="U2" i="1"/>
  <c r="U3" i="1" s="1"/>
  <c r="U6" i="1" s="1"/>
  <c r="C2" i="1"/>
  <c r="C3" i="1" s="1"/>
  <c r="C8" i="1" s="1"/>
  <c r="U7" i="1" l="1"/>
  <c r="T7" i="1"/>
  <c r="R7" i="1"/>
  <c r="G8" i="1"/>
  <c r="I7" i="1"/>
  <c r="C6" i="1"/>
  <c r="H7" i="1"/>
  <c r="R8" i="1"/>
  <c r="G7" i="1"/>
  <c r="O8" i="1"/>
  <c r="F7" i="1"/>
  <c r="N8" i="1"/>
  <c r="O6" i="1"/>
  <c r="M8" i="1"/>
  <c r="N6" i="1"/>
  <c r="L6" i="1"/>
  <c r="C7" i="1"/>
  <c r="K8" i="1"/>
  <c r="Q7" i="1"/>
  <c r="E7" i="1"/>
  <c r="K6" i="1"/>
  <c r="J8" i="1"/>
  <c r="P7" i="1"/>
  <c r="D7" i="1"/>
  <c r="J6" i="1"/>
  <c r="U8" i="1"/>
  <c r="I8" i="1"/>
  <c r="T8" i="1"/>
  <c r="H8" i="1"/>
  <c r="S7" i="1"/>
  <c r="M7" i="1"/>
  <c r="S6" i="1"/>
  <c r="Q8" i="1"/>
  <c r="E8" i="1"/>
  <c r="P8" i="1"/>
  <c r="D8" i="1"/>
</calcChain>
</file>

<file path=xl/sharedStrings.xml><?xml version="1.0" encoding="utf-8"?>
<sst xmlns="http://schemas.openxmlformats.org/spreadsheetml/2006/main" count="15" uniqueCount="13">
  <si>
    <t>a</t>
    <phoneticPr fontId="1"/>
  </si>
  <si>
    <t>1-a</t>
    <phoneticPr fontId="1"/>
  </si>
  <si>
    <t>G</t>
    <phoneticPr fontId="1"/>
  </si>
  <si>
    <t>1/1-a →</t>
    <phoneticPr fontId="1"/>
  </si>
  <si>
    <t>vin</t>
    <phoneticPr fontId="1"/>
  </si>
  <si>
    <t>vout</t>
    <phoneticPr fontId="1"/>
  </si>
  <si>
    <t>入力電流</t>
    <rPh sb="0" eb="2">
      <t>ニュウリョク</t>
    </rPh>
    <rPh sb="2" eb="4">
      <t>デンリュウ</t>
    </rPh>
    <phoneticPr fontId="1"/>
  </si>
  <si>
    <t>入力電圧</t>
    <rPh sb="0" eb="2">
      <t>ニュウリョク</t>
    </rPh>
    <rPh sb="2" eb="4">
      <t>デンアツ</t>
    </rPh>
    <phoneticPr fontId="1"/>
  </si>
  <si>
    <t>Vmpp</t>
    <phoneticPr fontId="1"/>
  </si>
  <si>
    <t>Voc</t>
    <phoneticPr fontId="1"/>
  </si>
  <si>
    <t>平均的なVmpp設定値</t>
    <rPh sb="0" eb="3">
      <t>ヘイキンテキ</t>
    </rPh>
    <rPh sb="8" eb="10">
      <t>セッテイ</t>
    </rPh>
    <rPh sb="10" eb="11">
      <t>チ</t>
    </rPh>
    <phoneticPr fontId="1"/>
  </si>
  <si>
    <t>Vout=24v</t>
    <phoneticPr fontId="1"/>
  </si>
  <si>
    <t>Vin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</si>
</sst>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/>
      <bottom/>
      <diagonal style="thin">
        <color auto="1"/>
      </diagonal>
    </border>
    <border diagonalUp="1">
      <left/>
      <right/>
      <top style="medium">
        <color indexed="64"/>
      </top>
      <bottom/>
      <diagonal style="thin">
        <color auto="1"/>
      </diagonal>
    </border>
    <border diagonalUp="1">
      <left/>
      <right/>
      <top/>
      <bottom style="medium">
        <color indexed="64"/>
      </bottom>
      <diagonal style="thin">
        <color auto="1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>
      <alignment vertical="center"/>
    </xf>
    <xf numFmtId="0" fontId="2" fillId="0" borderId="29" xfId="0" applyFon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4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昇圧比と</a:t>
            </a:r>
            <a:r>
              <a:rPr lang="en-US" altLang="ja-JP"/>
              <a:t>Duty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Sheet1!$C$1:$U$1</c:f>
              <c:numCache>
                <c:formatCode>General</c:formatCode>
                <c:ptCount val="19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0.55000000000000104</c:v>
                </c:pt>
                <c:pt idx="9">
                  <c:v>0.500000000000001</c:v>
                </c:pt>
                <c:pt idx="10">
                  <c:v>0.45000000000000101</c:v>
                </c:pt>
                <c:pt idx="11">
                  <c:v>0.40000000000000102</c:v>
                </c:pt>
                <c:pt idx="12">
                  <c:v>0.35000000000000098</c:v>
                </c:pt>
                <c:pt idx="13">
                  <c:v>0.30000000000000099</c:v>
                </c:pt>
                <c:pt idx="14">
                  <c:v>0.250000000000001</c:v>
                </c:pt>
                <c:pt idx="15">
                  <c:v>0.20000000000000101</c:v>
                </c:pt>
                <c:pt idx="16">
                  <c:v>0.15000000000000099</c:v>
                </c:pt>
                <c:pt idx="17">
                  <c:v>0.100000000000001</c:v>
                </c:pt>
                <c:pt idx="18">
                  <c:v>5.0000000000000898E-2</c:v>
                </c:pt>
              </c:numCache>
            </c:numRef>
          </c:cat>
          <c:val>
            <c:numRef>
              <c:f>Sheet1!$C$3:$U$3</c:f>
              <c:numCache>
                <c:formatCode>0.0</c:formatCode>
                <c:ptCount val="19"/>
                <c:pt idx="0">
                  <c:v>19.999999999999982</c:v>
                </c:pt>
                <c:pt idx="1">
                  <c:v>10.000000000000002</c:v>
                </c:pt>
                <c:pt idx="2">
                  <c:v>6.6666666666666661</c:v>
                </c:pt>
                <c:pt idx="3">
                  <c:v>5.0000000000000009</c:v>
                </c:pt>
                <c:pt idx="4">
                  <c:v>4</c:v>
                </c:pt>
                <c:pt idx="5">
                  <c:v>3.333333333333333</c:v>
                </c:pt>
                <c:pt idx="6">
                  <c:v>2.8571428571428572</c:v>
                </c:pt>
                <c:pt idx="7">
                  <c:v>2.5</c:v>
                </c:pt>
                <c:pt idx="8">
                  <c:v>2.2222222222222272</c:v>
                </c:pt>
                <c:pt idx="9">
                  <c:v>2.000000000000004</c:v>
                </c:pt>
                <c:pt idx="10">
                  <c:v>1.8181818181818217</c:v>
                </c:pt>
                <c:pt idx="11">
                  <c:v>1.6666666666666694</c:v>
                </c:pt>
                <c:pt idx="12">
                  <c:v>1.5384615384615408</c:v>
                </c:pt>
                <c:pt idx="13">
                  <c:v>1.4285714285714304</c:v>
                </c:pt>
                <c:pt idx="14">
                  <c:v>1.333333333333335</c:v>
                </c:pt>
                <c:pt idx="15">
                  <c:v>1.2500000000000018</c:v>
                </c:pt>
                <c:pt idx="16">
                  <c:v>1.1764705882352955</c:v>
                </c:pt>
                <c:pt idx="17">
                  <c:v>1.1111111111111123</c:v>
                </c:pt>
                <c:pt idx="18">
                  <c:v>1.0526315789473695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0-42BB-B0BE-3EB30F18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069344"/>
        <c:axId val="1941071264"/>
      </c:lineChart>
      <c:catAx>
        <c:axId val="194106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Duty</a:t>
                </a:r>
                <a:r>
                  <a:rPr lang="en-US" altLang="ja-JP" baseline="0"/>
                  <a:t> a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1071264"/>
        <c:crosses val="autoZero"/>
        <c:auto val="1"/>
        <c:lblAlgn val="ctr"/>
        <c:lblOffset val="100"/>
        <c:noMultiLvlLbl val="0"/>
      </c:catAx>
      <c:valAx>
        <c:axId val="19410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10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Vmpp</a:t>
            </a:r>
            <a:r>
              <a:rPr lang="ja-JP" altLang="en-US"/>
              <a:t>と</a:t>
            </a:r>
            <a:r>
              <a:rPr lang="en-US" altLang="ja-JP"/>
              <a:t>Voc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Vmpp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Sheet1!$W$2:$W$24</c:f>
              <c:numCache>
                <c:formatCode>General</c:formatCode>
                <c:ptCount val="2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Sheet1!$X$2:$X$24</c:f>
              <c:numCache>
                <c:formatCode>General</c:formatCode>
                <c:ptCount val="23"/>
                <c:pt idx="0">
                  <c:v>8.5</c:v>
                </c:pt>
                <c:pt idx="1">
                  <c:v>9.35</c:v>
                </c:pt>
                <c:pt idx="2">
                  <c:v>10.199999999999999</c:v>
                </c:pt>
                <c:pt idx="3">
                  <c:v>11.049999999999999</c:v>
                </c:pt>
                <c:pt idx="4">
                  <c:v>11.9</c:v>
                </c:pt>
                <c:pt idx="5">
                  <c:v>12.75</c:v>
                </c:pt>
                <c:pt idx="6">
                  <c:v>13.6</c:v>
                </c:pt>
                <c:pt idx="7">
                  <c:v>14.45</c:v>
                </c:pt>
                <c:pt idx="8">
                  <c:v>15.299999999999999</c:v>
                </c:pt>
                <c:pt idx="9">
                  <c:v>16.149999999999999</c:v>
                </c:pt>
                <c:pt idx="10">
                  <c:v>17</c:v>
                </c:pt>
                <c:pt idx="11">
                  <c:v>17.849999999999998</c:v>
                </c:pt>
                <c:pt idx="12">
                  <c:v>18.7</c:v>
                </c:pt>
                <c:pt idx="13">
                  <c:v>19.55</c:v>
                </c:pt>
                <c:pt idx="14">
                  <c:v>20.399999999999999</c:v>
                </c:pt>
                <c:pt idx="15">
                  <c:v>21.25</c:v>
                </c:pt>
                <c:pt idx="16">
                  <c:v>22.099999999999998</c:v>
                </c:pt>
                <c:pt idx="17">
                  <c:v>22.95</c:v>
                </c:pt>
                <c:pt idx="18">
                  <c:v>23.8</c:v>
                </c:pt>
                <c:pt idx="19">
                  <c:v>24.65</c:v>
                </c:pt>
                <c:pt idx="20">
                  <c:v>25.5</c:v>
                </c:pt>
                <c:pt idx="21">
                  <c:v>26.349999999999998</c:v>
                </c:pt>
                <c:pt idx="22">
                  <c:v>27.2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99-447D-8A59-9486F2CA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233984"/>
        <c:axId val="1657232064"/>
      </c:scatterChart>
      <c:valAx>
        <c:axId val="165723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Voc</a:t>
                </a:r>
              </a:p>
            </c:rich>
          </c:tx>
          <c:layout>
            <c:manualLayout>
              <c:xMode val="edge"/>
              <c:yMode val="edge"/>
              <c:x val="0.48279746281714786"/>
              <c:y val="0.85773148148148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7232064"/>
        <c:crosses val="autoZero"/>
        <c:crossBetween val="midCat"/>
      </c:valAx>
      <c:valAx>
        <c:axId val="16572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Vmpp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723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19329</xdr:colOff>
      <xdr:row>11</xdr:row>
      <xdr:rowOff>15690</xdr:rowOff>
    </xdr:from>
    <xdr:to>
      <xdr:col>15</xdr:col>
      <xdr:colOff>672352</xdr:colOff>
      <xdr:row>22</xdr:row>
      <xdr:rowOff>145677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564AD18-50A4-C5EC-2B77-B6AECC3A2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661147</xdr:colOff>
      <xdr:row>11</xdr:row>
      <xdr:rowOff>40341</xdr:rowOff>
    </xdr:from>
    <xdr:to>
      <xdr:col>21</xdr:col>
      <xdr:colOff>661147</xdr:colOff>
      <xdr:row>22</xdr:row>
      <xdr:rowOff>172570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4FC2938-6029-2427-3F48-8E46C20C3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66675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CA65A5A-5B16-6B75-BCD3-F067689DD3FF}"/>
            </a:ext>
          </a:extLst>
        </xdr:cNvPr>
        <xdr:cNvSpPr>
          <a:spLocks noChangeAspect="1" noChangeArrowheads="1"/>
        </xdr:cNvSpPr>
      </xdr:nvSpPr>
      <xdr:spPr bwMode="auto">
        <a:xfrm>
          <a:off x="137160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30</xdr:row>
      <xdr:rowOff>0</xdr:rowOff>
    </xdr:from>
    <xdr:ext cx="304800" cy="311603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6282322-9A90-43E7-9AB4-C03CB848C444}"/>
            </a:ext>
          </a:extLst>
        </xdr:cNvPr>
        <xdr:cNvSpPr>
          <a:spLocks noChangeAspect="1" noChangeArrowheads="1"/>
        </xdr:cNvSpPr>
      </xdr:nvSpPr>
      <xdr:spPr bwMode="auto">
        <a:xfrm>
          <a:off x="1360714" y="6368143"/>
          <a:ext cx="304800" cy="31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25</xdr:col>
      <xdr:colOff>50717</xdr:colOff>
      <xdr:row>0</xdr:row>
      <xdr:rowOff>0</xdr:rowOff>
    </xdr:from>
    <xdr:to>
      <xdr:col>36</xdr:col>
      <xdr:colOff>493457</xdr:colOff>
      <xdr:row>23</xdr:row>
      <xdr:rowOff>96485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AFF3C43-0E24-7297-66F9-223B794E92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0940" b="62515"/>
        <a:stretch>
          <a:fillRect/>
        </a:stretch>
      </xdr:blipFill>
      <xdr:spPr>
        <a:xfrm>
          <a:off x="18858262" y="0"/>
          <a:ext cx="8062740" cy="5672940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190500</xdr:colOff>
      <xdr:row>24</xdr:row>
      <xdr:rowOff>69272</xdr:rowOff>
    </xdr:from>
    <xdr:to>
      <xdr:col>36</xdr:col>
      <xdr:colOff>311728</xdr:colOff>
      <xdr:row>62</xdr:row>
      <xdr:rowOff>303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CDDF4F8-F523-406F-9C2D-3BD071120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7118" r="50940"/>
        <a:stretch>
          <a:fillRect/>
        </a:stretch>
      </xdr:blipFill>
      <xdr:spPr>
        <a:xfrm>
          <a:off x="18998045" y="5888181"/>
          <a:ext cx="7741228" cy="9137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2A8C-5670-414C-8366-75EE7B4CE38B}">
  <dimension ref="A1:X32"/>
  <sheetViews>
    <sheetView tabSelected="1" topLeftCell="A7" zoomScale="85" zoomScaleNormal="85" workbookViewId="0">
      <selection activeCell="B9" sqref="B9"/>
    </sheetView>
  </sheetViews>
  <sheetFormatPr defaultRowHeight="18.75" x14ac:dyDescent="0.4"/>
  <cols>
    <col min="3" max="4" width="11.125" bestFit="1" customWidth="1"/>
    <col min="5" max="21" width="10" bestFit="1" customWidth="1"/>
  </cols>
  <sheetData>
    <row r="1" spans="1:24" ht="19.5" thickBot="1" x14ac:dyDescent="0.45">
      <c r="A1">
        <v>1</v>
      </c>
      <c r="B1" s="6" t="s">
        <v>0</v>
      </c>
      <c r="C1" s="17">
        <v>0.95</v>
      </c>
      <c r="D1" s="18">
        <v>0.9</v>
      </c>
      <c r="E1" s="18">
        <v>0.85</v>
      </c>
      <c r="F1" s="18">
        <v>0.8</v>
      </c>
      <c r="G1" s="18">
        <v>0.75</v>
      </c>
      <c r="H1" s="18">
        <v>0.7</v>
      </c>
      <c r="I1" s="18">
        <v>0.65</v>
      </c>
      <c r="J1" s="18">
        <v>0.6</v>
      </c>
      <c r="K1" s="18">
        <v>0.55000000000000104</v>
      </c>
      <c r="L1" s="18">
        <v>0.500000000000001</v>
      </c>
      <c r="M1" s="18">
        <v>0.45000000000000101</v>
      </c>
      <c r="N1" s="18">
        <v>0.40000000000000102</v>
      </c>
      <c r="O1" s="18">
        <v>0.35000000000000098</v>
      </c>
      <c r="P1" s="18">
        <v>0.30000000000000099</v>
      </c>
      <c r="Q1" s="18">
        <v>0.250000000000001</v>
      </c>
      <c r="R1" s="18">
        <v>0.20000000000000101</v>
      </c>
      <c r="S1" s="18">
        <v>0.15000000000000099</v>
      </c>
      <c r="T1" s="18">
        <v>0.100000000000001</v>
      </c>
      <c r="U1" s="19">
        <v>5.0000000000000898E-2</v>
      </c>
      <c r="W1" s="52" t="s">
        <v>9</v>
      </c>
      <c r="X1" s="53" t="s">
        <v>8</v>
      </c>
    </row>
    <row r="2" spans="1:24" x14ac:dyDescent="0.4">
      <c r="B2" s="7" t="s">
        <v>1</v>
      </c>
      <c r="C2" s="2">
        <f t="shared" ref="C2:U2" si="0">$A$1-C1</f>
        <v>5.0000000000000044E-2</v>
      </c>
      <c r="D2" s="1">
        <f t="shared" si="0"/>
        <v>9.9999999999999978E-2</v>
      </c>
      <c r="E2" s="1">
        <f t="shared" si="0"/>
        <v>0.15000000000000002</v>
      </c>
      <c r="F2" s="1">
        <f t="shared" si="0"/>
        <v>0.19999999999999996</v>
      </c>
      <c r="G2" s="1">
        <f t="shared" si="0"/>
        <v>0.25</v>
      </c>
      <c r="H2" s="1">
        <f t="shared" si="0"/>
        <v>0.30000000000000004</v>
      </c>
      <c r="I2" s="1">
        <f t="shared" si="0"/>
        <v>0.35</v>
      </c>
      <c r="J2" s="1">
        <f t="shared" si="0"/>
        <v>0.4</v>
      </c>
      <c r="K2" s="1">
        <f t="shared" si="0"/>
        <v>0.44999999999999896</v>
      </c>
      <c r="L2" s="1">
        <f t="shared" si="0"/>
        <v>0.499999999999999</v>
      </c>
      <c r="M2" s="1">
        <f t="shared" si="0"/>
        <v>0.54999999999999893</v>
      </c>
      <c r="N2" s="1">
        <f t="shared" si="0"/>
        <v>0.59999999999999898</v>
      </c>
      <c r="O2" s="1">
        <f t="shared" si="0"/>
        <v>0.64999999999999902</v>
      </c>
      <c r="P2" s="1">
        <f t="shared" si="0"/>
        <v>0.69999999999999907</v>
      </c>
      <c r="Q2" s="1">
        <f t="shared" si="0"/>
        <v>0.749999999999999</v>
      </c>
      <c r="R2" s="1">
        <f t="shared" si="0"/>
        <v>0.79999999999999893</v>
      </c>
      <c r="S2" s="1">
        <f t="shared" si="0"/>
        <v>0.84999999999999898</v>
      </c>
      <c r="T2" s="1">
        <f t="shared" si="0"/>
        <v>0.89999999999999902</v>
      </c>
      <c r="U2" s="20">
        <f t="shared" si="0"/>
        <v>0.94999999999999907</v>
      </c>
      <c r="W2" s="24">
        <v>10</v>
      </c>
      <c r="X2" s="24">
        <f t="shared" ref="X2:X26" si="1">W2*$X$28</f>
        <v>8.5</v>
      </c>
    </row>
    <row r="3" spans="1:24" ht="19.5" thickBot="1" x14ac:dyDescent="0.45">
      <c r="A3" t="s">
        <v>3</v>
      </c>
      <c r="B3" s="8" t="s">
        <v>2</v>
      </c>
      <c r="C3" s="21">
        <f t="shared" ref="C3:U3" si="2">$A$1/C2</f>
        <v>19.999999999999982</v>
      </c>
      <c r="D3" s="22">
        <f t="shared" si="2"/>
        <v>10.000000000000002</v>
      </c>
      <c r="E3" s="22">
        <f t="shared" si="2"/>
        <v>6.6666666666666661</v>
      </c>
      <c r="F3" s="22">
        <f t="shared" si="2"/>
        <v>5.0000000000000009</v>
      </c>
      <c r="G3" s="22">
        <f t="shared" si="2"/>
        <v>4</v>
      </c>
      <c r="H3" s="22">
        <f t="shared" si="2"/>
        <v>3.333333333333333</v>
      </c>
      <c r="I3" s="22">
        <f t="shared" si="2"/>
        <v>2.8571428571428572</v>
      </c>
      <c r="J3" s="22">
        <f t="shared" si="2"/>
        <v>2.5</v>
      </c>
      <c r="K3" s="22">
        <f t="shared" si="2"/>
        <v>2.2222222222222272</v>
      </c>
      <c r="L3" s="22">
        <f t="shared" si="2"/>
        <v>2.000000000000004</v>
      </c>
      <c r="M3" s="22">
        <f t="shared" si="2"/>
        <v>1.8181818181818217</v>
      </c>
      <c r="N3" s="22">
        <f t="shared" si="2"/>
        <v>1.6666666666666694</v>
      </c>
      <c r="O3" s="22">
        <f t="shared" si="2"/>
        <v>1.5384615384615408</v>
      </c>
      <c r="P3" s="22">
        <f t="shared" si="2"/>
        <v>1.4285714285714304</v>
      </c>
      <c r="Q3" s="22">
        <f t="shared" si="2"/>
        <v>1.333333333333335</v>
      </c>
      <c r="R3" s="22">
        <f t="shared" si="2"/>
        <v>1.2500000000000018</v>
      </c>
      <c r="S3" s="22">
        <f t="shared" si="2"/>
        <v>1.1764705882352955</v>
      </c>
      <c r="T3" s="22">
        <f t="shared" si="2"/>
        <v>1.1111111111111123</v>
      </c>
      <c r="U3" s="23">
        <f t="shared" si="2"/>
        <v>1.0526315789473695</v>
      </c>
      <c r="W3" s="1">
        <v>11</v>
      </c>
      <c r="X3" s="1">
        <f t="shared" si="1"/>
        <v>9.35</v>
      </c>
    </row>
    <row r="4" spans="1:24" ht="19.5" thickBot="1" x14ac:dyDescent="0.45">
      <c r="W4" s="1">
        <v>12</v>
      </c>
      <c r="X4" s="1">
        <f t="shared" si="1"/>
        <v>10.199999999999999</v>
      </c>
    </row>
    <row r="5" spans="1:24" ht="19.5" thickBot="1" x14ac:dyDescent="0.45">
      <c r="C5" s="54" t="s">
        <v>5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6"/>
      <c r="W5" s="1">
        <v>13</v>
      </c>
      <c r="X5" s="1">
        <f t="shared" si="1"/>
        <v>11.049999999999999</v>
      </c>
    </row>
    <row r="6" spans="1:24" x14ac:dyDescent="0.4">
      <c r="A6" s="60" t="s">
        <v>4</v>
      </c>
      <c r="B6" s="6">
        <v>12</v>
      </c>
      <c r="C6" s="48">
        <f t="shared" ref="C6:U6" si="3">$B$6*C3</f>
        <v>239.99999999999977</v>
      </c>
      <c r="D6" s="9">
        <f t="shared" si="3"/>
        <v>120.00000000000003</v>
      </c>
      <c r="E6" s="9">
        <f t="shared" si="3"/>
        <v>80</v>
      </c>
      <c r="F6" s="9">
        <f t="shared" si="3"/>
        <v>60.000000000000014</v>
      </c>
      <c r="G6" s="9">
        <f t="shared" si="3"/>
        <v>48</v>
      </c>
      <c r="H6" s="9">
        <f t="shared" si="3"/>
        <v>40</v>
      </c>
      <c r="I6" s="10">
        <f t="shared" si="3"/>
        <v>34.285714285714285</v>
      </c>
      <c r="J6" s="10">
        <f t="shared" si="3"/>
        <v>30</v>
      </c>
      <c r="K6" s="10">
        <f t="shared" si="3"/>
        <v>26.666666666666728</v>
      </c>
      <c r="L6" s="10">
        <f t="shared" si="3"/>
        <v>24.00000000000005</v>
      </c>
      <c r="M6" s="10">
        <f t="shared" si="3"/>
        <v>21.818181818181859</v>
      </c>
      <c r="N6" s="10">
        <f t="shared" si="3"/>
        <v>20.000000000000032</v>
      </c>
      <c r="O6" s="10">
        <f t="shared" si="3"/>
        <v>18.461538461538488</v>
      </c>
      <c r="P6" s="10">
        <f t="shared" si="3"/>
        <v>17.142857142857164</v>
      </c>
      <c r="Q6" s="10">
        <f t="shared" si="3"/>
        <v>16.000000000000021</v>
      </c>
      <c r="R6" s="10">
        <f t="shared" si="3"/>
        <v>15.000000000000021</v>
      </c>
      <c r="S6" s="10">
        <f t="shared" si="3"/>
        <v>14.117647058823547</v>
      </c>
      <c r="T6" s="10">
        <f t="shared" si="3"/>
        <v>13.333333333333346</v>
      </c>
      <c r="U6" s="11">
        <f t="shared" si="3"/>
        <v>12.631578947368434</v>
      </c>
      <c r="W6" s="1">
        <v>14</v>
      </c>
      <c r="X6" s="1">
        <f t="shared" si="1"/>
        <v>11.9</v>
      </c>
    </row>
    <row r="7" spans="1:24" x14ac:dyDescent="0.4">
      <c r="A7" s="61"/>
      <c r="B7" s="7">
        <v>24</v>
      </c>
      <c r="C7" s="49">
        <f t="shared" ref="C7:U7" si="4">$B$7*C3</f>
        <v>479.99999999999955</v>
      </c>
      <c r="D7" s="12">
        <f t="shared" si="4"/>
        <v>240.00000000000006</v>
      </c>
      <c r="E7" s="12">
        <f t="shared" si="4"/>
        <v>160</v>
      </c>
      <c r="F7" s="12">
        <f t="shared" si="4"/>
        <v>120.00000000000003</v>
      </c>
      <c r="G7" s="12">
        <f t="shared" si="4"/>
        <v>96</v>
      </c>
      <c r="H7" s="12">
        <f t="shared" si="4"/>
        <v>80</v>
      </c>
      <c r="I7" s="12">
        <f t="shared" si="4"/>
        <v>68.571428571428569</v>
      </c>
      <c r="J7" s="12">
        <f t="shared" si="4"/>
        <v>60</v>
      </c>
      <c r="K7" s="12">
        <f t="shared" si="4"/>
        <v>53.333333333333456</v>
      </c>
      <c r="L7" s="12">
        <f t="shared" si="4"/>
        <v>48.000000000000099</v>
      </c>
      <c r="M7" s="12">
        <f t="shared" si="4"/>
        <v>43.636363636363718</v>
      </c>
      <c r="N7" s="12">
        <f t="shared" si="4"/>
        <v>40.000000000000064</v>
      </c>
      <c r="O7" s="45">
        <f t="shared" si="4"/>
        <v>36.923076923076977</v>
      </c>
      <c r="P7" s="13">
        <f t="shared" si="4"/>
        <v>34.285714285714327</v>
      </c>
      <c r="Q7" s="13">
        <f t="shared" si="4"/>
        <v>32.000000000000043</v>
      </c>
      <c r="R7" s="13">
        <f t="shared" si="4"/>
        <v>30.000000000000043</v>
      </c>
      <c r="S7" s="13">
        <f t="shared" si="4"/>
        <v>28.235294117647094</v>
      </c>
      <c r="T7" s="13">
        <f t="shared" si="4"/>
        <v>26.666666666666693</v>
      </c>
      <c r="U7" s="14">
        <f t="shared" si="4"/>
        <v>25.263157894736867</v>
      </c>
      <c r="W7" s="1">
        <v>15</v>
      </c>
      <c r="X7" s="1">
        <f t="shared" si="1"/>
        <v>12.75</v>
      </c>
    </row>
    <row r="8" spans="1:24" x14ac:dyDescent="0.4">
      <c r="A8" s="61"/>
      <c r="B8" s="7">
        <v>30</v>
      </c>
      <c r="C8" s="49">
        <f t="shared" ref="C8:U8" si="5">$B$8*C3</f>
        <v>599.99999999999943</v>
      </c>
      <c r="D8" s="12">
        <f t="shared" si="5"/>
        <v>300.00000000000006</v>
      </c>
      <c r="E8" s="12">
        <f t="shared" si="5"/>
        <v>199.99999999999997</v>
      </c>
      <c r="F8" s="12">
        <f t="shared" si="5"/>
        <v>150.00000000000003</v>
      </c>
      <c r="G8" s="12">
        <f t="shared" si="5"/>
        <v>120</v>
      </c>
      <c r="H8" s="12">
        <f t="shared" si="5"/>
        <v>99.999999999999986</v>
      </c>
      <c r="I8" s="12">
        <f t="shared" si="5"/>
        <v>85.714285714285722</v>
      </c>
      <c r="J8" s="12">
        <f t="shared" si="5"/>
        <v>75</v>
      </c>
      <c r="K8" s="12">
        <f t="shared" si="5"/>
        <v>66.666666666666814</v>
      </c>
      <c r="L8" s="12">
        <f t="shared" si="5"/>
        <v>60.000000000000121</v>
      </c>
      <c r="M8" s="12">
        <f t="shared" si="5"/>
        <v>54.545454545454653</v>
      </c>
      <c r="N8" s="12">
        <f t="shared" si="5"/>
        <v>50.000000000000085</v>
      </c>
      <c r="O8" s="12">
        <f t="shared" si="5"/>
        <v>46.153846153846224</v>
      </c>
      <c r="P8" s="12">
        <f t="shared" si="5"/>
        <v>42.857142857142911</v>
      </c>
      <c r="Q8" s="12">
        <f t="shared" si="5"/>
        <v>40.00000000000005</v>
      </c>
      <c r="R8" s="12">
        <f t="shared" si="5"/>
        <v>37.500000000000057</v>
      </c>
      <c r="S8" s="13">
        <f t="shared" si="5"/>
        <v>35.294117647058862</v>
      </c>
      <c r="T8" s="13">
        <f t="shared" si="5"/>
        <v>33.333333333333371</v>
      </c>
      <c r="U8" s="14">
        <f t="shared" si="5"/>
        <v>31.578947368421083</v>
      </c>
      <c r="W8" s="1">
        <v>16</v>
      </c>
      <c r="X8" s="1">
        <f t="shared" si="1"/>
        <v>13.6</v>
      </c>
    </row>
    <row r="9" spans="1:24" ht="19.5" thickBot="1" x14ac:dyDescent="0.45">
      <c r="A9" s="62"/>
      <c r="B9" s="8">
        <v>34</v>
      </c>
      <c r="C9" s="50">
        <f>$B$9*C3</f>
        <v>679.99999999999943</v>
      </c>
      <c r="D9" s="15">
        <f t="shared" ref="D9:Q9" si="6">$B$9*D3</f>
        <v>340.00000000000006</v>
      </c>
      <c r="E9" s="15">
        <f t="shared" si="6"/>
        <v>226.66666666666666</v>
      </c>
      <c r="F9" s="15">
        <f t="shared" si="6"/>
        <v>170.00000000000003</v>
      </c>
      <c r="G9" s="15">
        <f t="shared" si="6"/>
        <v>136</v>
      </c>
      <c r="H9" s="15">
        <f t="shared" si="6"/>
        <v>113.33333333333333</v>
      </c>
      <c r="I9" s="15">
        <f t="shared" si="6"/>
        <v>97.142857142857139</v>
      </c>
      <c r="J9" s="15">
        <f t="shared" si="6"/>
        <v>85</v>
      </c>
      <c r="K9" s="15">
        <f t="shared" si="6"/>
        <v>75.555555555555728</v>
      </c>
      <c r="L9" s="15">
        <f t="shared" si="6"/>
        <v>68.000000000000142</v>
      </c>
      <c r="M9" s="15">
        <f t="shared" si="6"/>
        <v>61.818181818181934</v>
      </c>
      <c r="N9" s="15">
        <f t="shared" si="6"/>
        <v>56.666666666666757</v>
      </c>
      <c r="O9" s="15">
        <f t="shared" si="6"/>
        <v>52.307692307692385</v>
      </c>
      <c r="P9" s="15">
        <f t="shared" si="6"/>
        <v>48.571428571428633</v>
      </c>
      <c r="Q9" s="15">
        <f t="shared" si="6"/>
        <v>45.333333333333393</v>
      </c>
      <c r="R9" s="15">
        <f>$B$9*R3</f>
        <v>42.500000000000057</v>
      </c>
      <c r="S9" s="15">
        <f>$B$9*S3</f>
        <v>40.00000000000005</v>
      </c>
      <c r="T9" s="15">
        <f>$B$9*T3</f>
        <v>37.777777777777814</v>
      </c>
      <c r="U9" s="16">
        <f>$B$9*U3</f>
        <v>35.789473684210563</v>
      </c>
      <c r="W9" s="1">
        <v>17</v>
      </c>
      <c r="X9" s="1">
        <f t="shared" si="1"/>
        <v>14.45</v>
      </c>
    </row>
    <row r="10" spans="1:24" x14ac:dyDescent="0.4">
      <c r="W10" s="1">
        <v>18</v>
      </c>
      <c r="X10" s="1">
        <f t="shared" si="1"/>
        <v>15.299999999999999</v>
      </c>
    </row>
    <row r="11" spans="1:24" ht="19.5" thickBot="1" x14ac:dyDescent="0.45">
      <c r="W11" s="1">
        <v>19</v>
      </c>
      <c r="X11" s="1">
        <f t="shared" si="1"/>
        <v>16.149999999999999</v>
      </c>
    </row>
    <row r="12" spans="1:24" ht="19.5" thickBot="1" x14ac:dyDescent="0.45">
      <c r="A12" s="46"/>
      <c r="B12" s="46"/>
      <c r="C12" s="54" t="s">
        <v>7</v>
      </c>
      <c r="D12" s="55"/>
      <c r="E12" s="55"/>
      <c r="F12" s="55"/>
      <c r="G12" s="55"/>
      <c r="H12" s="55"/>
      <c r="I12" s="55"/>
      <c r="J12" s="56"/>
      <c r="W12" s="1">
        <v>20</v>
      </c>
      <c r="X12" s="1">
        <f t="shared" si="1"/>
        <v>17</v>
      </c>
    </row>
    <row r="13" spans="1:24" ht="19.5" thickBot="1" x14ac:dyDescent="0.45">
      <c r="A13" s="46"/>
      <c r="B13" s="46"/>
      <c r="C13" s="35">
        <v>5</v>
      </c>
      <c r="D13" s="37">
        <v>10</v>
      </c>
      <c r="E13" s="28">
        <v>15</v>
      </c>
      <c r="F13" s="28">
        <v>20</v>
      </c>
      <c r="G13" s="28">
        <v>25</v>
      </c>
      <c r="H13" s="28">
        <v>30</v>
      </c>
      <c r="I13" s="41">
        <v>34</v>
      </c>
      <c r="J13" s="36">
        <v>40</v>
      </c>
      <c r="W13" s="1">
        <v>21</v>
      </c>
      <c r="X13" s="1">
        <f t="shared" si="1"/>
        <v>17.849999999999998</v>
      </c>
    </row>
    <row r="14" spans="1:24" x14ac:dyDescent="0.4">
      <c r="A14" s="57" t="s">
        <v>6</v>
      </c>
      <c r="B14" s="3">
        <v>1</v>
      </c>
      <c r="C14" s="29">
        <f t="shared" ref="C14:C23" si="7">B14*$C$13</f>
        <v>5</v>
      </c>
      <c r="D14" s="38">
        <f t="shared" ref="D14:D23" si="8">B14*$D$13</f>
        <v>10</v>
      </c>
      <c r="E14" s="25">
        <f t="shared" ref="E14:E23" si="9">B14*$E$13</f>
        <v>15</v>
      </c>
      <c r="F14" s="25">
        <f t="shared" ref="F14:F23" si="10">B14*$F$13</f>
        <v>20</v>
      </c>
      <c r="G14" s="25">
        <f t="shared" ref="G14:G23" si="11">B14*$G$13</f>
        <v>25</v>
      </c>
      <c r="H14" s="25">
        <f t="shared" ref="H14:H23" si="12">B14*$H$13</f>
        <v>30</v>
      </c>
      <c r="I14" s="42">
        <f t="shared" ref="I14:I23" si="13">B14*$I$13</f>
        <v>34</v>
      </c>
      <c r="J14" s="32">
        <f t="shared" ref="J14:J23" si="14">B14*$J$13</f>
        <v>40</v>
      </c>
      <c r="W14" s="1">
        <v>22</v>
      </c>
      <c r="X14" s="1">
        <f t="shared" si="1"/>
        <v>18.7</v>
      </c>
    </row>
    <row r="15" spans="1:24" x14ac:dyDescent="0.4">
      <c r="A15" s="58"/>
      <c r="B15" s="4">
        <v>2</v>
      </c>
      <c r="C15" s="30">
        <f t="shared" si="7"/>
        <v>10</v>
      </c>
      <c r="D15" s="39">
        <f t="shared" si="8"/>
        <v>20</v>
      </c>
      <c r="E15" s="26">
        <f t="shared" si="9"/>
        <v>30</v>
      </c>
      <c r="F15" s="26">
        <f t="shared" si="10"/>
        <v>40</v>
      </c>
      <c r="G15" s="26">
        <f t="shared" si="11"/>
        <v>50</v>
      </c>
      <c r="H15" s="26">
        <f t="shared" si="12"/>
        <v>60</v>
      </c>
      <c r="I15" s="43">
        <f t="shared" si="13"/>
        <v>68</v>
      </c>
      <c r="J15" s="33">
        <f t="shared" si="14"/>
        <v>80</v>
      </c>
      <c r="W15" s="1">
        <v>23</v>
      </c>
      <c r="X15" s="1">
        <f t="shared" si="1"/>
        <v>19.55</v>
      </c>
    </row>
    <row r="16" spans="1:24" x14ac:dyDescent="0.4">
      <c r="A16" s="58"/>
      <c r="B16" s="4">
        <v>3</v>
      </c>
      <c r="C16" s="30">
        <f t="shared" si="7"/>
        <v>15</v>
      </c>
      <c r="D16" s="39">
        <f t="shared" si="8"/>
        <v>30</v>
      </c>
      <c r="E16" s="26">
        <f t="shared" si="9"/>
        <v>45</v>
      </c>
      <c r="F16" s="26">
        <f t="shared" si="10"/>
        <v>60</v>
      </c>
      <c r="G16" s="26">
        <f t="shared" si="11"/>
        <v>75</v>
      </c>
      <c r="H16" s="26">
        <f t="shared" si="12"/>
        <v>90</v>
      </c>
      <c r="I16" s="43">
        <f t="shared" si="13"/>
        <v>102</v>
      </c>
      <c r="J16" s="33">
        <f t="shared" si="14"/>
        <v>120</v>
      </c>
      <c r="W16" s="1">
        <v>24</v>
      </c>
      <c r="X16" s="1">
        <f t="shared" si="1"/>
        <v>20.399999999999999</v>
      </c>
    </row>
    <row r="17" spans="1:24" x14ac:dyDescent="0.4">
      <c r="A17" s="58"/>
      <c r="B17" s="4">
        <v>4</v>
      </c>
      <c r="C17" s="30">
        <f t="shared" si="7"/>
        <v>20</v>
      </c>
      <c r="D17" s="39">
        <f t="shared" si="8"/>
        <v>40</v>
      </c>
      <c r="E17" s="26">
        <f t="shared" si="9"/>
        <v>60</v>
      </c>
      <c r="F17" s="26">
        <f t="shared" si="10"/>
        <v>80</v>
      </c>
      <c r="G17" s="26">
        <f t="shared" si="11"/>
        <v>100</v>
      </c>
      <c r="H17" s="26">
        <f t="shared" si="12"/>
        <v>120</v>
      </c>
      <c r="I17" s="43">
        <f t="shared" si="13"/>
        <v>136</v>
      </c>
      <c r="J17" s="33">
        <f t="shared" si="14"/>
        <v>160</v>
      </c>
      <c r="W17" s="1">
        <v>25</v>
      </c>
      <c r="X17" s="1">
        <f t="shared" si="1"/>
        <v>21.25</v>
      </c>
    </row>
    <row r="18" spans="1:24" x14ac:dyDescent="0.4">
      <c r="A18" s="58"/>
      <c r="B18" s="4">
        <v>5</v>
      </c>
      <c r="C18" s="30">
        <f t="shared" si="7"/>
        <v>25</v>
      </c>
      <c r="D18" s="39">
        <f t="shared" si="8"/>
        <v>50</v>
      </c>
      <c r="E18" s="26">
        <f t="shared" si="9"/>
        <v>75</v>
      </c>
      <c r="F18" s="26">
        <f t="shared" si="10"/>
        <v>100</v>
      </c>
      <c r="G18" s="26">
        <f t="shared" si="11"/>
        <v>125</v>
      </c>
      <c r="H18" s="26">
        <f t="shared" si="12"/>
        <v>150</v>
      </c>
      <c r="I18" s="43">
        <f t="shared" si="13"/>
        <v>170</v>
      </c>
      <c r="J18" s="33">
        <f t="shared" si="14"/>
        <v>200</v>
      </c>
      <c r="W18" s="1">
        <v>26</v>
      </c>
      <c r="X18" s="1">
        <f t="shared" si="1"/>
        <v>22.099999999999998</v>
      </c>
    </row>
    <row r="19" spans="1:24" x14ac:dyDescent="0.4">
      <c r="A19" s="58"/>
      <c r="B19" s="4">
        <v>6</v>
      </c>
      <c r="C19" s="30">
        <f t="shared" si="7"/>
        <v>30</v>
      </c>
      <c r="D19" s="39">
        <f t="shared" si="8"/>
        <v>60</v>
      </c>
      <c r="E19" s="26">
        <f t="shared" si="9"/>
        <v>90</v>
      </c>
      <c r="F19" s="26">
        <f t="shared" si="10"/>
        <v>120</v>
      </c>
      <c r="G19" s="26">
        <f t="shared" si="11"/>
        <v>150</v>
      </c>
      <c r="H19" s="26">
        <f t="shared" si="12"/>
        <v>180</v>
      </c>
      <c r="I19" s="43">
        <f t="shared" si="13"/>
        <v>204</v>
      </c>
      <c r="J19" s="33">
        <f t="shared" si="14"/>
        <v>240</v>
      </c>
      <c r="W19" s="1">
        <v>27</v>
      </c>
      <c r="X19" s="1">
        <f t="shared" si="1"/>
        <v>22.95</v>
      </c>
    </row>
    <row r="20" spans="1:24" x14ac:dyDescent="0.4">
      <c r="A20" s="58"/>
      <c r="B20" s="4">
        <v>7</v>
      </c>
      <c r="C20" s="30">
        <f t="shared" si="7"/>
        <v>35</v>
      </c>
      <c r="D20" s="39">
        <f t="shared" si="8"/>
        <v>70</v>
      </c>
      <c r="E20" s="26">
        <f t="shared" si="9"/>
        <v>105</v>
      </c>
      <c r="F20" s="26">
        <f t="shared" si="10"/>
        <v>140</v>
      </c>
      <c r="G20" s="26">
        <f t="shared" si="11"/>
        <v>175</v>
      </c>
      <c r="H20" s="26">
        <f t="shared" si="12"/>
        <v>210</v>
      </c>
      <c r="I20" s="43">
        <f t="shared" si="13"/>
        <v>238</v>
      </c>
      <c r="J20" s="33">
        <f t="shared" si="14"/>
        <v>280</v>
      </c>
      <c r="W20" s="1">
        <v>28</v>
      </c>
      <c r="X20" s="1">
        <f t="shared" si="1"/>
        <v>23.8</v>
      </c>
    </row>
    <row r="21" spans="1:24" x14ac:dyDescent="0.4">
      <c r="A21" s="58"/>
      <c r="B21" s="4">
        <v>8</v>
      </c>
      <c r="C21" s="30">
        <f t="shared" si="7"/>
        <v>40</v>
      </c>
      <c r="D21" s="39">
        <f t="shared" si="8"/>
        <v>80</v>
      </c>
      <c r="E21" s="26">
        <f t="shared" si="9"/>
        <v>120</v>
      </c>
      <c r="F21" s="26">
        <f t="shared" si="10"/>
        <v>160</v>
      </c>
      <c r="G21" s="26">
        <f t="shared" si="11"/>
        <v>200</v>
      </c>
      <c r="H21" s="26">
        <f t="shared" si="12"/>
        <v>240</v>
      </c>
      <c r="I21" s="43">
        <f t="shared" si="13"/>
        <v>272</v>
      </c>
      <c r="J21" s="33">
        <f t="shared" si="14"/>
        <v>320</v>
      </c>
      <c r="W21" s="1">
        <v>29</v>
      </c>
      <c r="X21" s="1">
        <f t="shared" si="1"/>
        <v>24.65</v>
      </c>
    </row>
    <row r="22" spans="1:24" x14ac:dyDescent="0.4">
      <c r="A22" s="58"/>
      <c r="B22" s="4">
        <v>9</v>
      </c>
      <c r="C22" s="30">
        <f t="shared" si="7"/>
        <v>45</v>
      </c>
      <c r="D22" s="39">
        <f t="shared" si="8"/>
        <v>90</v>
      </c>
      <c r="E22" s="26">
        <f t="shared" si="9"/>
        <v>135</v>
      </c>
      <c r="F22" s="26">
        <f t="shared" si="10"/>
        <v>180</v>
      </c>
      <c r="G22" s="26">
        <f t="shared" si="11"/>
        <v>225</v>
      </c>
      <c r="H22" s="26">
        <f t="shared" si="12"/>
        <v>270</v>
      </c>
      <c r="I22" s="43">
        <f t="shared" si="13"/>
        <v>306</v>
      </c>
      <c r="J22" s="33">
        <f t="shared" si="14"/>
        <v>360</v>
      </c>
      <c r="W22" s="1">
        <v>30</v>
      </c>
      <c r="X22" s="1">
        <f t="shared" si="1"/>
        <v>25.5</v>
      </c>
    </row>
    <row r="23" spans="1:24" ht="19.5" thickBot="1" x14ac:dyDescent="0.45">
      <c r="A23" s="59"/>
      <c r="B23" s="5">
        <v>10</v>
      </c>
      <c r="C23" s="31">
        <f t="shared" si="7"/>
        <v>50</v>
      </c>
      <c r="D23" s="40">
        <f t="shared" si="8"/>
        <v>100</v>
      </c>
      <c r="E23" s="27">
        <f t="shared" si="9"/>
        <v>150</v>
      </c>
      <c r="F23" s="27">
        <f t="shared" si="10"/>
        <v>200</v>
      </c>
      <c r="G23" s="27">
        <f t="shared" si="11"/>
        <v>250</v>
      </c>
      <c r="H23" s="27">
        <f t="shared" si="12"/>
        <v>300</v>
      </c>
      <c r="I23" s="44">
        <f t="shared" si="13"/>
        <v>340</v>
      </c>
      <c r="J23" s="34">
        <f t="shared" si="14"/>
        <v>400</v>
      </c>
      <c r="W23" s="1">
        <v>31</v>
      </c>
      <c r="X23" s="1">
        <f t="shared" si="1"/>
        <v>26.349999999999998</v>
      </c>
    </row>
    <row r="24" spans="1:24" x14ac:dyDescent="0.4">
      <c r="W24" s="1">
        <v>32</v>
      </c>
      <c r="X24" s="1">
        <f t="shared" si="1"/>
        <v>27.2</v>
      </c>
    </row>
    <row r="25" spans="1:24" ht="19.5" thickBot="1" x14ac:dyDescent="0.45">
      <c r="W25" s="1">
        <v>33</v>
      </c>
      <c r="X25" s="1">
        <f t="shared" si="1"/>
        <v>28.05</v>
      </c>
    </row>
    <row r="26" spans="1:24" ht="19.5" thickBot="1" x14ac:dyDescent="0.45">
      <c r="B26" s="63"/>
      <c r="C26" s="54" t="s">
        <v>11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6"/>
      <c r="W26" s="1">
        <v>34</v>
      </c>
      <c r="X26" s="1">
        <f t="shared" si="1"/>
        <v>28.9</v>
      </c>
    </row>
    <row r="27" spans="1:24" ht="19.5" thickBot="1" x14ac:dyDescent="0.45">
      <c r="B27" s="66" t="s">
        <v>12</v>
      </c>
      <c r="C27" s="67">
        <v>10</v>
      </c>
      <c r="D27" s="67">
        <v>20</v>
      </c>
      <c r="E27" s="67">
        <v>30</v>
      </c>
      <c r="F27" s="67">
        <v>40</v>
      </c>
      <c r="G27" s="67">
        <v>50</v>
      </c>
      <c r="H27" s="67">
        <v>60</v>
      </c>
      <c r="I27" s="67">
        <v>70</v>
      </c>
      <c r="J27" s="67">
        <v>80</v>
      </c>
      <c r="K27" s="67">
        <v>90</v>
      </c>
      <c r="L27" s="67">
        <v>100</v>
      </c>
      <c r="M27" s="67">
        <v>110</v>
      </c>
      <c r="N27" s="68">
        <v>120</v>
      </c>
    </row>
    <row r="28" spans="1:24" ht="19.5" thickBot="1" x14ac:dyDescent="0.45">
      <c r="B28" s="47">
        <v>12</v>
      </c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5"/>
      <c r="W28" s="51" t="s">
        <v>10</v>
      </c>
      <c r="X28">
        <v>0.85</v>
      </c>
    </row>
    <row r="29" spans="1:24" ht="19.5" thickBot="1" x14ac:dyDescent="0.45"/>
    <row r="30" spans="1:24" ht="19.5" thickBot="1" x14ac:dyDescent="0.45">
      <c r="B30" s="63"/>
      <c r="C30" s="54" t="s">
        <v>11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6"/>
    </row>
    <row r="31" spans="1:24" ht="19.5" thickBot="1" x14ac:dyDescent="0.45">
      <c r="B31" s="66" t="s">
        <v>12</v>
      </c>
      <c r="C31" s="67">
        <v>10</v>
      </c>
      <c r="D31" s="67">
        <v>20</v>
      </c>
      <c r="E31" s="67">
        <v>30</v>
      </c>
      <c r="F31" s="67">
        <v>40</v>
      </c>
      <c r="G31" s="67">
        <v>50</v>
      </c>
      <c r="H31" s="67">
        <v>60</v>
      </c>
      <c r="I31" s="67">
        <v>70</v>
      </c>
      <c r="J31" s="67">
        <v>80</v>
      </c>
      <c r="K31" s="67">
        <v>90</v>
      </c>
      <c r="L31" s="67">
        <v>100</v>
      </c>
      <c r="M31" s="67">
        <v>110</v>
      </c>
      <c r="N31" s="68">
        <v>120</v>
      </c>
    </row>
    <row r="32" spans="1:24" ht="19.5" thickBot="1" x14ac:dyDescent="0.45">
      <c r="B32" s="47">
        <v>12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5"/>
    </row>
  </sheetData>
  <mergeCells count="6">
    <mergeCell ref="C30:N30"/>
    <mergeCell ref="C12:J12"/>
    <mergeCell ref="A14:A23"/>
    <mergeCell ref="C5:U5"/>
    <mergeCell ref="A6:A9"/>
    <mergeCell ref="C26:N26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将輝 林</dc:creator>
  <cp:lastModifiedBy>将輝 林</cp:lastModifiedBy>
  <dcterms:created xsi:type="dcterms:W3CDTF">2025-08-28T14:26:57Z</dcterms:created>
  <dcterms:modified xsi:type="dcterms:W3CDTF">2025-09-01T13:51:38Z</dcterms:modified>
</cp:coreProperties>
</file>