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AE-Hayashi\Documents\Loreley2\MPPT\1次試作\MPPT_TYPE3\"/>
    </mc:Choice>
  </mc:AlternateContent>
  <xr:revisionPtr revIDLastSave="0" documentId="8_{3BF0AA06-4D90-4C20-B8B7-E037A663F3DD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Sheet1" sheetId="1" r:id="rId1"/>
    <sheet name="シート1" sheetId="2" r:id="rId2"/>
  </sheets>
  <calcPr calcId="181029"/>
  <extLst>
    <ext uri="GoogleSheetsCustomDataVersion2">
      <go:sheetsCustomData xmlns:go="http://customooxmlschemas.google.com/" r:id="rId6" roundtripDataChecksum="C4TLb7tnhLFcXBohwSI0Q0Wa7yKv5cq2dx5aZyrWLsU="/>
    </ext>
  </extLst>
</workbook>
</file>

<file path=xl/calcChain.xml><?xml version="1.0" encoding="utf-8"?>
<calcChain xmlns="http://schemas.openxmlformats.org/spreadsheetml/2006/main">
  <c r="D14" i="2" l="1"/>
  <c r="D7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D34" i="2"/>
  <c r="E28" i="2"/>
  <c r="F28" i="2"/>
  <c r="G28" i="2"/>
  <c r="H28" i="2"/>
  <c r="I28" i="2"/>
  <c r="J28" i="2"/>
  <c r="K28" i="2"/>
  <c r="L28" i="2"/>
  <c r="M28" i="2"/>
  <c r="N28" i="2"/>
  <c r="O28" i="2"/>
  <c r="P28" i="2"/>
  <c r="D28" i="2"/>
  <c r="E14" i="2"/>
  <c r="E21" i="2"/>
  <c r="F21" i="2"/>
  <c r="G21" i="2"/>
  <c r="H21" i="2"/>
  <c r="I21" i="2"/>
  <c r="D21" i="2"/>
  <c r="L14" i="2"/>
  <c r="F14" i="2"/>
  <c r="G14" i="2"/>
  <c r="H14" i="2"/>
  <c r="I14" i="2"/>
  <c r="J14" i="2"/>
  <c r="K14" i="2"/>
  <c r="E7" i="2"/>
  <c r="F7" i="2"/>
  <c r="G7" i="2"/>
  <c r="H7" i="2"/>
  <c r="I7" i="2"/>
  <c r="J7" i="2"/>
  <c r="K7" i="2"/>
  <c r="L7" i="2"/>
  <c r="M7" i="2"/>
  <c r="N7" i="2"/>
  <c r="O7" i="2"/>
  <c r="P7" i="2"/>
  <c r="Q7" i="2"/>
  <c r="L39" i="1"/>
  <c r="L40" i="1" s="1"/>
  <c r="K39" i="1"/>
  <c r="K40" i="1" s="1"/>
  <c r="H39" i="1"/>
  <c r="H40" i="1" s="1"/>
  <c r="G39" i="1"/>
  <c r="G40" i="1" s="1"/>
  <c r="P38" i="1"/>
  <c r="P39" i="1" s="1"/>
  <c r="P40" i="1" s="1"/>
  <c r="O38" i="1"/>
  <c r="O39" i="1" s="1"/>
  <c r="O40" i="1" s="1"/>
  <c r="N38" i="1"/>
  <c r="N39" i="1" s="1"/>
  <c r="N40" i="1" s="1"/>
  <c r="M38" i="1"/>
  <c r="M39" i="1" s="1"/>
  <c r="M40" i="1" s="1"/>
  <c r="L38" i="1"/>
  <c r="K38" i="1"/>
  <c r="J38" i="1"/>
  <c r="J39" i="1" s="1"/>
  <c r="J40" i="1" s="1"/>
  <c r="I38" i="1"/>
  <c r="I39" i="1" s="1"/>
  <c r="I40" i="1" s="1"/>
  <c r="H38" i="1"/>
  <c r="G38" i="1"/>
  <c r="F38" i="1"/>
  <c r="F39" i="1" s="1"/>
  <c r="F40" i="1" s="1"/>
  <c r="E38" i="1"/>
  <c r="E39" i="1" s="1"/>
  <c r="E40" i="1" s="1"/>
  <c r="D38" i="1"/>
  <c r="D39" i="1" s="1"/>
  <c r="D40" i="1" s="1"/>
  <c r="C38" i="1"/>
  <c r="C39" i="1" s="1"/>
  <c r="C40" i="1" s="1"/>
  <c r="R33" i="1"/>
  <c r="R34" i="1" s="1"/>
  <c r="Q33" i="1"/>
  <c r="Q34" i="1" s="1"/>
  <c r="L33" i="1"/>
  <c r="L34" i="1" s="1"/>
  <c r="G33" i="1"/>
  <c r="G34" i="1" s="1"/>
  <c r="F33" i="1"/>
  <c r="F34" i="1" s="1"/>
  <c r="E33" i="1"/>
  <c r="E34" i="1" s="1"/>
  <c r="R32" i="1"/>
  <c r="Q32" i="1"/>
  <c r="P32" i="1"/>
  <c r="P33" i="1" s="1"/>
  <c r="P34" i="1" s="1"/>
  <c r="O32" i="1"/>
  <c r="O33" i="1" s="1"/>
  <c r="O34" i="1" s="1"/>
  <c r="N32" i="1"/>
  <c r="N33" i="1" s="1"/>
  <c r="N34" i="1" s="1"/>
  <c r="M32" i="1"/>
  <c r="M33" i="1" s="1"/>
  <c r="M34" i="1" s="1"/>
  <c r="L32" i="1"/>
  <c r="K32" i="1"/>
  <c r="K33" i="1" s="1"/>
  <c r="K34" i="1" s="1"/>
  <c r="J32" i="1"/>
  <c r="J33" i="1" s="1"/>
  <c r="J34" i="1" s="1"/>
  <c r="I32" i="1"/>
  <c r="I33" i="1" s="1"/>
  <c r="I34" i="1" s="1"/>
  <c r="H32" i="1"/>
  <c r="H33" i="1" s="1"/>
  <c r="H34" i="1" s="1"/>
  <c r="G32" i="1"/>
  <c r="F32" i="1"/>
  <c r="E32" i="1"/>
  <c r="D32" i="1"/>
  <c r="D33" i="1" s="1"/>
  <c r="D34" i="1" s="1"/>
  <c r="C32" i="1"/>
  <c r="C33" i="1" s="1"/>
  <c r="C34" i="1" s="1"/>
  <c r="Y26" i="1"/>
  <c r="Y25" i="1"/>
  <c r="Y24" i="1"/>
  <c r="Y23" i="1"/>
  <c r="K23" i="1"/>
  <c r="J23" i="1"/>
  <c r="I23" i="1"/>
  <c r="H23" i="1"/>
  <c r="G23" i="1"/>
  <c r="F23" i="1"/>
  <c r="E23" i="1"/>
  <c r="D23" i="1"/>
  <c r="Y22" i="1"/>
  <c r="K22" i="1"/>
  <c r="J22" i="1"/>
  <c r="I22" i="1"/>
  <c r="H22" i="1"/>
  <c r="G22" i="1"/>
  <c r="F22" i="1"/>
  <c r="E22" i="1"/>
  <c r="D22" i="1"/>
  <c r="Y21" i="1"/>
  <c r="K21" i="1"/>
  <c r="J21" i="1"/>
  <c r="I21" i="1"/>
  <c r="H21" i="1"/>
  <c r="G21" i="1"/>
  <c r="F21" i="1"/>
  <c r="E21" i="1"/>
  <c r="D21" i="1"/>
  <c r="Y20" i="1"/>
  <c r="K20" i="1"/>
  <c r="J20" i="1"/>
  <c r="I20" i="1"/>
  <c r="H20" i="1"/>
  <c r="G20" i="1"/>
  <c r="F20" i="1"/>
  <c r="E20" i="1"/>
  <c r="D20" i="1"/>
  <c r="Y19" i="1"/>
  <c r="K19" i="1"/>
  <c r="J19" i="1"/>
  <c r="I19" i="1"/>
  <c r="H19" i="1"/>
  <c r="G19" i="1"/>
  <c r="F19" i="1"/>
  <c r="E19" i="1"/>
  <c r="D19" i="1"/>
  <c r="Y18" i="1"/>
  <c r="K18" i="1"/>
  <c r="J18" i="1"/>
  <c r="I18" i="1"/>
  <c r="H18" i="1"/>
  <c r="G18" i="1"/>
  <c r="F18" i="1"/>
  <c r="E18" i="1"/>
  <c r="D18" i="1"/>
  <c r="Y17" i="1"/>
  <c r="K17" i="1"/>
  <c r="J17" i="1"/>
  <c r="I17" i="1"/>
  <c r="H17" i="1"/>
  <c r="G17" i="1"/>
  <c r="F17" i="1"/>
  <c r="E17" i="1"/>
  <c r="D17" i="1"/>
  <c r="Y16" i="1"/>
  <c r="K16" i="1"/>
  <c r="J16" i="1"/>
  <c r="I16" i="1"/>
  <c r="H16" i="1"/>
  <c r="G16" i="1"/>
  <c r="F16" i="1"/>
  <c r="E16" i="1"/>
  <c r="D16" i="1"/>
  <c r="Y15" i="1"/>
  <c r="K15" i="1"/>
  <c r="J15" i="1"/>
  <c r="I15" i="1"/>
  <c r="H15" i="1"/>
  <c r="G15" i="1"/>
  <c r="F15" i="1"/>
  <c r="E15" i="1"/>
  <c r="D15" i="1"/>
  <c r="Y14" i="1"/>
  <c r="K14" i="1"/>
  <c r="J14" i="1"/>
  <c r="I14" i="1"/>
  <c r="H14" i="1"/>
  <c r="G14" i="1"/>
  <c r="F14" i="1"/>
  <c r="E14" i="1"/>
  <c r="D14" i="1"/>
  <c r="Y13" i="1"/>
  <c r="Y12" i="1"/>
  <c r="Y11" i="1"/>
  <c r="Y10" i="1"/>
  <c r="Y9" i="1"/>
  <c r="S9" i="1"/>
  <c r="L9" i="1"/>
  <c r="G9" i="1"/>
  <c r="Y8" i="1"/>
  <c r="S8" i="1"/>
  <c r="G8" i="1"/>
  <c r="Y7" i="1"/>
  <c r="L7" i="1"/>
  <c r="Y6" i="1"/>
  <c r="S6" i="1"/>
  <c r="L6" i="1"/>
  <c r="G6" i="1"/>
  <c r="Y5" i="1"/>
  <c r="Y4" i="1"/>
  <c r="Y3" i="1"/>
  <c r="V3" i="1"/>
  <c r="V7" i="1" s="1"/>
  <c r="U3" i="1"/>
  <c r="U7" i="1" s="1"/>
  <c r="S3" i="1"/>
  <c r="S7" i="1" s="1"/>
  <c r="R3" i="1"/>
  <c r="R9" i="1" s="1"/>
  <c r="Q3" i="1"/>
  <c r="Q9" i="1" s="1"/>
  <c r="L3" i="1"/>
  <c r="L8" i="1" s="1"/>
  <c r="J3" i="1"/>
  <c r="J7" i="1" s="1"/>
  <c r="I3" i="1"/>
  <c r="I7" i="1" s="1"/>
  <c r="G3" i="1"/>
  <c r="G7" i="1" s="1"/>
  <c r="F3" i="1"/>
  <c r="F9" i="1" s="1"/>
  <c r="E3" i="1"/>
  <c r="E9" i="1" s="1"/>
  <c r="Y2" i="1"/>
  <c r="V2" i="1"/>
  <c r="U2" i="1"/>
  <c r="T2" i="1"/>
  <c r="T3" i="1" s="1"/>
  <c r="S2" i="1"/>
  <c r="R2" i="1"/>
  <c r="Q2" i="1"/>
  <c r="P2" i="1"/>
  <c r="P3" i="1" s="1"/>
  <c r="O2" i="1"/>
  <c r="O3" i="1" s="1"/>
  <c r="N2" i="1"/>
  <c r="N3" i="1" s="1"/>
  <c r="M2" i="1"/>
  <c r="M3" i="1" s="1"/>
  <c r="L2" i="1"/>
  <c r="K2" i="1"/>
  <c r="K3" i="1" s="1"/>
  <c r="J2" i="1"/>
  <c r="I2" i="1"/>
  <c r="H2" i="1"/>
  <c r="H3" i="1" s="1"/>
  <c r="G2" i="1"/>
  <c r="F2" i="1"/>
  <c r="E2" i="1"/>
  <c r="D2" i="1"/>
  <c r="D3" i="1" s="1"/>
  <c r="K7" i="1" l="1"/>
  <c r="K8" i="1"/>
  <c r="K9" i="1"/>
  <c r="K6" i="1"/>
  <c r="T8" i="1"/>
  <c r="T9" i="1"/>
  <c r="T7" i="1"/>
  <c r="T6" i="1"/>
  <c r="H8" i="1"/>
  <c r="H9" i="1"/>
  <c r="H6" i="1"/>
  <c r="H7" i="1"/>
  <c r="O7" i="1"/>
  <c r="O9" i="1"/>
  <c r="O6" i="1"/>
  <c r="O8" i="1"/>
  <c r="D7" i="1"/>
  <c r="D9" i="1"/>
  <c r="D6" i="1"/>
  <c r="D8" i="1"/>
  <c r="P9" i="1"/>
  <c r="P6" i="1"/>
  <c r="P7" i="1"/>
  <c r="P8" i="1"/>
  <c r="M8" i="1"/>
  <c r="M9" i="1"/>
  <c r="M6" i="1"/>
  <c r="M7" i="1"/>
  <c r="N8" i="1"/>
  <c r="N9" i="1"/>
  <c r="N6" i="1"/>
  <c r="N7" i="1"/>
  <c r="I6" i="1"/>
  <c r="U6" i="1"/>
  <c r="E8" i="1"/>
  <c r="Q8" i="1"/>
  <c r="I9" i="1"/>
  <c r="U9" i="1"/>
  <c r="J6" i="1"/>
  <c r="V6" i="1"/>
  <c r="F8" i="1"/>
  <c r="R8" i="1"/>
  <c r="J9" i="1"/>
  <c r="V9" i="1"/>
  <c r="E7" i="1"/>
  <c r="Q7" i="1"/>
  <c r="I8" i="1"/>
  <c r="U8" i="1"/>
  <c r="F7" i="1"/>
  <c r="V8" i="1"/>
  <c r="R7" i="1"/>
  <c r="E6" i="1"/>
  <c r="Q6" i="1"/>
  <c r="J8" i="1"/>
  <c r="F6" i="1"/>
  <c r="R6" i="1"/>
</calcChain>
</file>

<file path=xl/sharedStrings.xml><?xml version="1.0" encoding="utf-8"?>
<sst xmlns="http://schemas.openxmlformats.org/spreadsheetml/2006/main" count="55" uniqueCount="20">
  <si>
    <t>a</t>
  </si>
  <si>
    <t>Voc</t>
  </si>
  <si>
    <t>Vmpp</t>
  </si>
  <si>
    <t>1-a</t>
  </si>
  <si>
    <t>1/1-a →</t>
  </si>
  <si>
    <t>G</t>
  </si>
  <si>
    <t>vout</t>
  </si>
  <si>
    <t>vin</t>
  </si>
  <si>
    <t>入力電圧</t>
  </si>
  <si>
    <t>入力電流</t>
  </si>
  <si>
    <t>平均的なVmpp設定値</t>
  </si>
  <si>
    <t>R1 kΩ</t>
  </si>
  <si>
    <t>R2 kΩ</t>
  </si>
  <si>
    <t>出力電圧</t>
  </si>
  <si>
    <t>R3 kΩ</t>
  </si>
  <si>
    <t>R4 kΩ</t>
  </si>
  <si>
    <t>Vout</t>
  </si>
  <si>
    <t>出力電流(電子負荷値)</t>
  </si>
  <si>
    <t>出力電流</t>
  </si>
  <si>
    <t>効率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</si>
</sst>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9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3" fillId="2" borderId="21" xfId="0" applyNumberFormat="1" applyFont="1" applyFill="1" applyBorder="1" applyAlignment="1">
      <alignment horizontal="center" vertical="center"/>
    </xf>
    <xf numFmtId="1" fontId="3" fillId="2" borderId="22" xfId="0" applyNumberFormat="1" applyFont="1" applyFill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2" borderId="24" xfId="0" applyNumberFormat="1" applyFont="1" applyFill="1" applyBorder="1" applyAlignment="1">
      <alignment horizontal="center" vertical="center"/>
    </xf>
    <xf numFmtId="1" fontId="3" fillId="2" borderId="25" xfId="0" applyNumberFormat="1" applyFont="1" applyFill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2" borderId="28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24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40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1" fontId="1" fillId="0" borderId="0" xfId="0" applyNumberFormat="1" applyFont="1" applyAlignment="1">
      <alignment vertical="center"/>
    </xf>
    <xf numFmtId="1" fontId="1" fillId="0" borderId="45" xfId="0" applyNumberFormat="1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176" fontId="1" fillId="0" borderId="47" xfId="0" applyNumberFormat="1" applyFont="1" applyBorder="1" applyAlignment="1">
      <alignment vertical="center"/>
    </xf>
    <xf numFmtId="176" fontId="1" fillId="0" borderId="48" xfId="0" applyNumberFormat="1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2" fontId="1" fillId="0" borderId="0" xfId="0" applyNumberFormat="1" applyFont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1" fillId="0" borderId="49" xfId="0" applyFont="1" applyBorder="1" applyAlignment="1">
      <alignment vertical="center" wrapText="1"/>
    </xf>
    <xf numFmtId="9" fontId="1" fillId="0" borderId="49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2" fontId="1" fillId="0" borderId="24" xfId="0" applyNumberFormat="1" applyFont="1" applyBorder="1" applyAlignment="1">
      <alignment horizontal="center" vertical="center" wrapText="1"/>
    </xf>
    <xf numFmtId="2" fontId="1" fillId="0" borderId="24" xfId="0" applyNumberFormat="1" applyFont="1" applyBorder="1" applyAlignment="1">
      <alignment vertical="center" wrapText="1"/>
    </xf>
    <xf numFmtId="0" fontId="1" fillId="0" borderId="24" xfId="0" applyNumberFormat="1" applyFont="1" applyBorder="1" applyAlignment="1">
      <alignment vertical="center" wrapText="1"/>
    </xf>
    <xf numFmtId="0" fontId="1" fillId="0" borderId="24" xfId="0" applyNumberFormat="1" applyFont="1" applyBorder="1" applyAlignment="1">
      <alignment horizontal="center" vertical="center" wrapText="1"/>
    </xf>
    <xf numFmtId="0" fontId="1" fillId="0" borderId="24" xfId="0" applyNumberFormat="1" applyFont="1" applyBorder="1" applyAlignment="1">
      <alignment horizontal="right" vertical="center" wrapText="1"/>
    </xf>
    <xf numFmtId="0" fontId="1" fillId="0" borderId="24" xfId="0" applyNumberFormat="1" applyFont="1" applyBorder="1" applyAlignment="1">
      <alignment horizontal="center" vertical="center"/>
    </xf>
    <xf numFmtId="0" fontId="0" fillId="0" borderId="24" xfId="0" applyBorder="1" applyAlignment="1">
      <alignment vertical="center"/>
    </xf>
    <xf numFmtId="9" fontId="1" fillId="0" borderId="24" xfId="1" applyFont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ja-JP" altLang="en-US" sz="1400" b="0" i="0">
                <a:solidFill>
                  <a:srgbClr val="757575"/>
                </a:solidFill>
                <a:latin typeface="+mn-lt"/>
              </a:rPr>
              <a:t>昇圧比と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Duty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Sheet1!$D$1:$V$1</c:f>
              <c:numCache>
                <c:formatCode>General</c:formatCode>
                <c:ptCount val="19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  <c:pt idx="5">
                  <c:v>0.7</c:v>
                </c:pt>
                <c:pt idx="6">
                  <c:v>0.65</c:v>
                </c:pt>
                <c:pt idx="7">
                  <c:v>0.6</c:v>
                </c:pt>
                <c:pt idx="8">
                  <c:v>0.55000000000000104</c:v>
                </c:pt>
                <c:pt idx="9">
                  <c:v>0.500000000000001</c:v>
                </c:pt>
                <c:pt idx="10">
                  <c:v>0.45000000000000101</c:v>
                </c:pt>
                <c:pt idx="11">
                  <c:v>0.40000000000000102</c:v>
                </c:pt>
                <c:pt idx="12">
                  <c:v>0.35000000000000098</c:v>
                </c:pt>
                <c:pt idx="13">
                  <c:v>0.30000000000000099</c:v>
                </c:pt>
                <c:pt idx="14">
                  <c:v>0.250000000000001</c:v>
                </c:pt>
                <c:pt idx="15">
                  <c:v>0.20000000000000101</c:v>
                </c:pt>
                <c:pt idx="16">
                  <c:v>0.15000000000000099</c:v>
                </c:pt>
                <c:pt idx="17">
                  <c:v>0.100000000000001</c:v>
                </c:pt>
                <c:pt idx="18">
                  <c:v>5.0000000000000898E-2</c:v>
                </c:pt>
              </c:numCache>
            </c:numRef>
          </c:cat>
          <c:val>
            <c:numRef>
              <c:f>Sheet1!$D$3:$V$3</c:f>
              <c:numCache>
                <c:formatCode>0.0</c:formatCode>
                <c:ptCount val="19"/>
                <c:pt idx="0">
                  <c:v>19.999999999999982</c:v>
                </c:pt>
                <c:pt idx="1">
                  <c:v>10.000000000000002</c:v>
                </c:pt>
                <c:pt idx="2">
                  <c:v>6.6666666666666661</c:v>
                </c:pt>
                <c:pt idx="3">
                  <c:v>5.0000000000000009</c:v>
                </c:pt>
                <c:pt idx="4">
                  <c:v>4</c:v>
                </c:pt>
                <c:pt idx="5">
                  <c:v>3.333333333333333</c:v>
                </c:pt>
                <c:pt idx="6">
                  <c:v>2.8571428571428572</c:v>
                </c:pt>
                <c:pt idx="7">
                  <c:v>2.5</c:v>
                </c:pt>
                <c:pt idx="8">
                  <c:v>2.2222222222222272</c:v>
                </c:pt>
                <c:pt idx="9">
                  <c:v>2.000000000000004</c:v>
                </c:pt>
                <c:pt idx="10">
                  <c:v>1.8181818181818217</c:v>
                </c:pt>
                <c:pt idx="11">
                  <c:v>1.6666666666666694</c:v>
                </c:pt>
                <c:pt idx="12">
                  <c:v>1.5384615384615408</c:v>
                </c:pt>
                <c:pt idx="13">
                  <c:v>1.4285714285714304</c:v>
                </c:pt>
                <c:pt idx="14">
                  <c:v>1.333333333333335</c:v>
                </c:pt>
                <c:pt idx="15">
                  <c:v>1.2500000000000018</c:v>
                </c:pt>
                <c:pt idx="16">
                  <c:v>1.1764705882352955</c:v>
                </c:pt>
                <c:pt idx="17">
                  <c:v>1.1111111111111123</c:v>
                </c:pt>
                <c:pt idx="18">
                  <c:v>1.0526315789473695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6-45AD-8A9A-01263EBBE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931233"/>
        <c:axId val="1918233370"/>
      </c:lineChart>
      <c:catAx>
        <c:axId val="1118931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Duty a [%]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ja-JP"/>
          </a:p>
        </c:txPr>
        <c:crossAx val="1918233370"/>
        <c:crosses val="autoZero"/>
        <c:auto val="1"/>
        <c:lblAlgn val="ctr"/>
        <c:lblOffset val="100"/>
        <c:noMultiLvlLbl val="1"/>
      </c:catAx>
      <c:valAx>
        <c:axId val="1918233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G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ja-JP"/>
          </a:p>
        </c:txPr>
        <c:crossAx val="111893123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Vmpp</a:t>
            </a:r>
            <a:r>
              <a:rPr lang="ja-JP" altLang="en-US" sz="1400" b="0" i="0">
                <a:solidFill>
                  <a:srgbClr val="757575"/>
                </a:solidFill>
                <a:latin typeface="+mn-lt"/>
              </a:rPr>
              <a:t>と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Voc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Vmpp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Sheet1!$X$2:$X$24</c:f>
              <c:numCache>
                <c:formatCode>General</c:formatCode>
                <c:ptCount val="2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</c:numCache>
            </c:numRef>
          </c:xVal>
          <c:yVal>
            <c:numRef>
              <c:f>Sheet1!$Y$2:$Y$24</c:f>
              <c:numCache>
                <c:formatCode>General</c:formatCode>
                <c:ptCount val="23"/>
                <c:pt idx="0">
                  <c:v>8.5</c:v>
                </c:pt>
                <c:pt idx="1">
                  <c:v>9.35</c:v>
                </c:pt>
                <c:pt idx="2">
                  <c:v>10.199999999999999</c:v>
                </c:pt>
                <c:pt idx="3">
                  <c:v>11.049999999999999</c:v>
                </c:pt>
                <c:pt idx="4">
                  <c:v>11.9</c:v>
                </c:pt>
                <c:pt idx="5">
                  <c:v>12.75</c:v>
                </c:pt>
                <c:pt idx="6">
                  <c:v>13.6</c:v>
                </c:pt>
                <c:pt idx="7">
                  <c:v>14.45</c:v>
                </c:pt>
                <c:pt idx="8">
                  <c:v>15.299999999999999</c:v>
                </c:pt>
                <c:pt idx="9">
                  <c:v>16.149999999999999</c:v>
                </c:pt>
                <c:pt idx="10">
                  <c:v>17</c:v>
                </c:pt>
                <c:pt idx="11">
                  <c:v>17.849999999999998</c:v>
                </c:pt>
                <c:pt idx="12">
                  <c:v>18.7</c:v>
                </c:pt>
                <c:pt idx="13">
                  <c:v>19.55</c:v>
                </c:pt>
                <c:pt idx="14">
                  <c:v>20.399999999999999</c:v>
                </c:pt>
                <c:pt idx="15">
                  <c:v>21.25</c:v>
                </c:pt>
                <c:pt idx="16">
                  <c:v>22.099999999999998</c:v>
                </c:pt>
                <c:pt idx="17">
                  <c:v>22.95</c:v>
                </c:pt>
                <c:pt idx="18">
                  <c:v>23.8</c:v>
                </c:pt>
                <c:pt idx="19">
                  <c:v>24.65</c:v>
                </c:pt>
                <c:pt idx="20">
                  <c:v>25.5</c:v>
                </c:pt>
                <c:pt idx="21">
                  <c:v>26.349999999999998</c:v>
                </c:pt>
                <c:pt idx="22">
                  <c:v>27.2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A-491F-96C5-C1A9E91E7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374212"/>
        <c:axId val="885277642"/>
      </c:scatterChart>
      <c:valAx>
        <c:axId val="16973742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Voc</a:t>
                </a:r>
              </a:p>
            </c:rich>
          </c:tx>
          <c:layout>
            <c:manualLayout>
              <c:xMode val="edge"/>
              <c:yMode val="edge"/>
              <c:x val="0.48279746281714786"/>
              <c:y val="0.8577314814814817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ja-JP"/>
          </a:p>
        </c:txPr>
        <c:crossAx val="885277642"/>
        <c:crosses val="autoZero"/>
        <c:crossBetween val="midCat"/>
      </c:valAx>
      <c:valAx>
        <c:axId val="885277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Vmpp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ja-JP"/>
          </a:p>
        </c:txPr>
        <c:crossAx val="169737421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ja-JP" altLang="en-US" b="0">
                <a:solidFill>
                  <a:srgbClr val="757575"/>
                </a:solidFill>
                <a:latin typeface="+mn-lt"/>
              </a:rPr>
              <a:t>出力電圧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Sheet1!$C$37:$O$37</c:f>
              <c:numCache>
                <c:formatCode>General</c:formatCode>
                <c:ptCount val="13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</c:numCache>
            </c:numRef>
          </c:cat>
          <c:val>
            <c:numRef>
              <c:f>Sheet1!$C$40:$O$40</c:f>
              <c:numCache>
                <c:formatCode>0.0</c:formatCode>
                <c:ptCount val="13"/>
                <c:pt idx="0">
                  <c:v>14.973599999999999</c:v>
                </c:pt>
                <c:pt idx="1">
                  <c:v>15.708</c:v>
                </c:pt>
                <c:pt idx="2">
                  <c:v>16.524000000000001</c:v>
                </c:pt>
                <c:pt idx="3">
                  <c:v>17.436</c:v>
                </c:pt>
                <c:pt idx="4">
                  <c:v>18.462000000000003</c:v>
                </c:pt>
                <c:pt idx="5">
                  <c:v>19.6248</c:v>
                </c:pt>
                <c:pt idx="6">
                  <c:v>20.953714285714288</c:v>
                </c:pt>
                <c:pt idx="7">
                  <c:v>22.487076923076923</c:v>
                </c:pt>
                <c:pt idx="8">
                  <c:v>24.276</c:v>
                </c:pt>
                <c:pt idx="9">
                  <c:v>26.390181818181816</c:v>
                </c:pt>
                <c:pt idx="10">
                  <c:v>28.927199999999999</c:v>
                </c:pt>
                <c:pt idx="11">
                  <c:v>32.027999999999999</c:v>
                </c:pt>
                <c:pt idx="12">
                  <c:v>35.904000000000003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4-4986-AEA1-8B8060D89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1964908"/>
        <c:axId val="1925934367"/>
      </c:lineChart>
      <c:catAx>
        <c:axId val="2131964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R4[k</a:t>
                </a:r>
                <a:r>
                  <a:rPr lang="el-GR" b="0">
                    <a:solidFill>
                      <a:srgbClr val="000000"/>
                    </a:solidFill>
                    <a:latin typeface="+mn-lt"/>
                  </a:rPr>
                  <a:t>Ω] </a:t>
                </a:r>
                <a:r>
                  <a:rPr lang="ja-JP" altLang="en-US" b="0">
                    <a:solidFill>
                      <a:srgbClr val="000000"/>
                    </a:solidFill>
                    <a:latin typeface="+mn-lt"/>
                  </a:rPr>
                  <a:t>抵抗値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ja-JP"/>
          </a:p>
        </c:txPr>
        <c:crossAx val="1925934367"/>
        <c:crosses val="autoZero"/>
        <c:auto val="1"/>
        <c:lblAlgn val="ctr"/>
        <c:lblOffset val="100"/>
        <c:noMultiLvlLbl val="1"/>
      </c:catAx>
      <c:valAx>
        <c:axId val="1925934367"/>
        <c:scaling>
          <c:orientation val="minMax"/>
          <c:max val="3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ja-JP" altLang="en-US" b="0">
                    <a:solidFill>
                      <a:srgbClr val="000000"/>
                    </a:solidFill>
                    <a:latin typeface="+mn-lt"/>
                  </a:rPr>
                  <a:t>出力電圧</a:t>
                </a:r>
                <a:r>
                  <a:rPr lang="en-US" altLang="ja-JP" b="0">
                    <a:solidFill>
                      <a:srgbClr val="000000"/>
                    </a:solidFill>
                    <a:latin typeface="+mn-lt"/>
                  </a:rPr>
                  <a:t>[</a:t>
                </a: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V]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ja-JP"/>
          </a:p>
        </c:txPr>
        <c:crossAx val="21319649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ja-JP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ja-JP" altLang="en-US" b="0">
                <a:solidFill>
                  <a:srgbClr val="757575"/>
                </a:solidFill>
                <a:latin typeface="+mn-lt"/>
              </a:rPr>
              <a:t>入力電圧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Sheet1!$C$31:$R$31</c:f>
              <c:numCache>
                <c:formatCode>General</c:formatCode>
                <c:ptCount val="16"/>
                <c:pt idx="0">
                  <c:v>10</c:v>
                </c:pt>
                <c:pt idx="1">
                  <c:v>9.5</c:v>
                </c:pt>
                <c:pt idx="2">
                  <c:v>9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7</c:v>
                </c:pt>
                <c:pt idx="7">
                  <c:v>6.5</c:v>
                </c:pt>
                <c:pt idx="8">
                  <c:v>6</c:v>
                </c:pt>
                <c:pt idx="9">
                  <c:v>5.5</c:v>
                </c:pt>
                <c:pt idx="10">
                  <c:v>5</c:v>
                </c:pt>
                <c:pt idx="11">
                  <c:v>4.5</c:v>
                </c:pt>
                <c:pt idx="12">
                  <c:v>4</c:v>
                </c:pt>
                <c:pt idx="13">
                  <c:v>3.9</c:v>
                </c:pt>
                <c:pt idx="14">
                  <c:v>3</c:v>
                </c:pt>
                <c:pt idx="15">
                  <c:v>2.7</c:v>
                </c:pt>
              </c:numCache>
            </c:numRef>
          </c:cat>
          <c:val>
            <c:numRef>
              <c:f>Sheet1!$C$34:$R$34</c:f>
              <c:numCache>
                <c:formatCode>0.0</c:formatCode>
                <c:ptCount val="16"/>
                <c:pt idx="0">
                  <c:v>10.125</c:v>
                </c:pt>
                <c:pt idx="1">
                  <c:v>10.592105263157894</c:v>
                </c:pt>
                <c:pt idx="2">
                  <c:v>11.111111111111111</c:v>
                </c:pt>
                <c:pt idx="3">
                  <c:v>11.691176470588236</c:v>
                </c:pt>
                <c:pt idx="4">
                  <c:v>12.34375</c:v>
                </c:pt>
                <c:pt idx="5">
                  <c:v>13.083333333333334</c:v>
                </c:pt>
                <c:pt idx="6">
                  <c:v>13.928571428571427</c:v>
                </c:pt>
                <c:pt idx="7">
                  <c:v>14.903846153846153</c:v>
                </c:pt>
                <c:pt idx="8">
                  <c:v>16.041666666666668</c:v>
                </c:pt>
                <c:pt idx="9">
                  <c:v>17.386363636363637</c:v>
                </c:pt>
                <c:pt idx="10">
                  <c:v>19</c:v>
                </c:pt>
                <c:pt idx="11">
                  <c:v>20.972222222222221</c:v>
                </c:pt>
                <c:pt idx="12">
                  <c:v>23.4375</c:v>
                </c:pt>
                <c:pt idx="13">
                  <c:v>24.006410256410255</c:v>
                </c:pt>
                <c:pt idx="14">
                  <c:v>30.833333333333336</c:v>
                </c:pt>
                <c:pt idx="15">
                  <c:v>34.120370370370367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56-415D-AE0D-F3F617807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058005"/>
        <c:axId val="1542020243"/>
      </c:lineChart>
      <c:catAx>
        <c:axId val="970058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R2[k</a:t>
                </a:r>
                <a:r>
                  <a:rPr lang="el-GR" b="0">
                    <a:solidFill>
                      <a:srgbClr val="000000"/>
                    </a:solidFill>
                    <a:latin typeface="+mn-lt"/>
                  </a:rPr>
                  <a:t>Ω］</a:t>
                </a:r>
                <a:r>
                  <a:rPr lang="ja-JP" altLang="en-US" b="0">
                    <a:solidFill>
                      <a:srgbClr val="000000"/>
                    </a:solidFill>
                    <a:latin typeface="+mn-lt"/>
                  </a:rPr>
                  <a:t>抵抗値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ja-JP"/>
          </a:p>
        </c:txPr>
        <c:crossAx val="1542020243"/>
        <c:crosses val="autoZero"/>
        <c:auto val="1"/>
        <c:lblAlgn val="ctr"/>
        <c:lblOffset val="100"/>
        <c:noMultiLvlLbl val="1"/>
      </c:catAx>
      <c:valAx>
        <c:axId val="1542020243"/>
        <c:scaling>
          <c:orientation val="minMax"/>
          <c:max val="3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ja-JP" altLang="en-US" b="0">
                    <a:solidFill>
                      <a:srgbClr val="000000"/>
                    </a:solidFill>
                    <a:latin typeface="+mn-lt"/>
                  </a:rPr>
                  <a:t>入力電圧</a:t>
                </a:r>
                <a:r>
                  <a:rPr lang="en-US" altLang="ja-JP" b="0">
                    <a:solidFill>
                      <a:srgbClr val="000000"/>
                    </a:solidFill>
                    <a:latin typeface="+mn-lt"/>
                  </a:rPr>
                  <a:t>[</a:t>
                </a: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V]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ja-JP"/>
          </a:p>
        </c:txPr>
        <c:crossAx val="9700580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ja-JP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19050</xdr:colOff>
      <xdr:row>11</xdr:row>
      <xdr:rowOff>9525</xdr:rowOff>
    </xdr:from>
    <xdr:ext cx="3981450" cy="2743200"/>
    <xdr:graphicFrame macro="">
      <xdr:nvGraphicFramePr>
        <xdr:cNvPr id="1353290589" name="Chart 1">
          <a:extLst>
            <a:ext uri="{FF2B5EF4-FFF2-40B4-BE49-F238E27FC236}">
              <a16:creationId xmlns:a16="http://schemas.microsoft.com/office/drawing/2014/main" id="{00000000-0008-0000-0000-00005D93A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657225</xdr:colOff>
      <xdr:row>11</xdr:row>
      <xdr:rowOff>38100</xdr:rowOff>
    </xdr:from>
    <xdr:ext cx="4000500" cy="2743200"/>
    <xdr:graphicFrame macro="">
      <xdr:nvGraphicFramePr>
        <xdr:cNvPr id="1200421377" name="Chart 2">
          <a:extLst>
            <a:ext uri="{FF2B5EF4-FFF2-40B4-BE49-F238E27FC236}">
              <a16:creationId xmlns:a16="http://schemas.microsoft.com/office/drawing/2014/main" id="{00000000-0008-0000-0000-000001FA8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104775</xdr:colOff>
      <xdr:row>40</xdr:row>
      <xdr:rowOff>76200</xdr:rowOff>
    </xdr:from>
    <xdr:ext cx="5715000" cy="3533775"/>
    <xdr:graphicFrame macro="">
      <xdr:nvGraphicFramePr>
        <xdr:cNvPr id="1545080227" name="Chart 3" title="グラフ">
          <a:extLst>
            <a:ext uri="{FF2B5EF4-FFF2-40B4-BE49-F238E27FC236}">
              <a16:creationId xmlns:a16="http://schemas.microsoft.com/office/drawing/2014/main" id="{00000000-0008-0000-0000-0000A30D1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276225</xdr:colOff>
      <xdr:row>40</xdr:row>
      <xdr:rowOff>76200</xdr:rowOff>
    </xdr:from>
    <xdr:ext cx="5715000" cy="3533775"/>
    <xdr:graphicFrame macro="">
      <xdr:nvGraphicFramePr>
        <xdr:cNvPr id="1699838990" name="Chart 4" title="グラフ">
          <a:extLst>
            <a:ext uri="{FF2B5EF4-FFF2-40B4-BE49-F238E27FC236}">
              <a16:creationId xmlns:a16="http://schemas.microsoft.com/office/drawing/2014/main" id="{00000000-0008-0000-0000-00000E7C5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opLeftCell="A25" workbookViewId="0">
      <selection activeCell="R37" sqref="R37"/>
    </sheetView>
  </sheetViews>
  <sheetFormatPr defaultColWidth="14.42578125" defaultRowHeight="15" customHeight="1" x14ac:dyDescent="0.25"/>
  <cols>
    <col min="1" max="1" width="9.5703125" customWidth="1"/>
    <col min="2" max="3" width="8.7109375" customWidth="1"/>
    <col min="4" max="5" width="11.140625" customWidth="1"/>
    <col min="6" max="22" width="10" customWidth="1"/>
    <col min="23" max="27" width="8.7109375" customWidth="1"/>
  </cols>
  <sheetData>
    <row r="1" spans="1:25" ht="18.75" customHeight="1" x14ac:dyDescent="0.25">
      <c r="B1" s="1">
        <v>1</v>
      </c>
      <c r="C1" s="2" t="s">
        <v>0</v>
      </c>
      <c r="D1" s="3">
        <v>0.95</v>
      </c>
      <c r="E1" s="4">
        <v>0.9</v>
      </c>
      <c r="F1" s="4">
        <v>0.85</v>
      </c>
      <c r="G1" s="4">
        <v>0.8</v>
      </c>
      <c r="H1" s="4">
        <v>0.75</v>
      </c>
      <c r="I1" s="4">
        <v>0.7</v>
      </c>
      <c r="J1" s="4">
        <v>0.65</v>
      </c>
      <c r="K1" s="4">
        <v>0.6</v>
      </c>
      <c r="L1" s="4">
        <v>0.55000000000000104</v>
      </c>
      <c r="M1" s="4">
        <v>0.500000000000001</v>
      </c>
      <c r="N1" s="4">
        <v>0.45000000000000101</v>
      </c>
      <c r="O1" s="4">
        <v>0.40000000000000102</v>
      </c>
      <c r="P1" s="4">
        <v>0.35000000000000098</v>
      </c>
      <c r="Q1" s="4">
        <v>0.30000000000000099</v>
      </c>
      <c r="R1" s="4">
        <v>0.250000000000001</v>
      </c>
      <c r="S1" s="4">
        <v>0.20000000000000101</v>
      </c>
      <c r="T1" s="4">
        <v>0.15000000000000099</v>
      </c>
      <c r="U1" s="4">
        <v>0.100000000000001</v>
      </c>
      <c r="V1" s="5">
        <v>5.0000000000000898E-2</v>
      </c>
      <c r="X1" s="6" t="s">
        <v>1</v>
      </c>
      <c r="Y1" s="7" t="s">
        <v>2</v>
      </c>
    </row>
    <row r="2" spans="1:25" ht="18.75" customHeight="1" x14ac:dyDescent="0.25">
      <c r="C2" s="8" t="s">
        <v>3</v>
      </c>
      <c r="D2" s="9">
        <f t="shared" ref="D2:V2" si="0">$B$1-D1</f>
        <v>5.0000000000000044E-2</v>
      </c>
      <c r="E2" s="10">
        <f t="shared" si="0"/>
        <v>9.9999999999999978E-2</v>
      </c>
      <c r="F2" s="10">
        <f t="shared" si="0"/>
        <v>0.15000000000000002</v>
      </c>
      <c r="G2" s="10">
        <f t="shared" si="0"/>
        <v>0.19999999999999996</v>
      </c>
      <c r="H2" s="10">
        <f t="shared" si="0"/>
        <v>0.25</v>
      </c>
      <c r="I2" s="10">
        <f t="shared" si="0"/>
        <v>0.30000000000000004</v>
      </c>
      <c r="J2" s="10">
        <f t="shared" si="0"/>
        <v>0.35</v>
      </c>
      <c r="K2" s="10">
        <f t="shared" si="0"/>
        <v>0.4</v>
      </c>
      <c r="L2" s="10">
        <f t="shared" si="0"/>
        <v>0.44999999999999896</v>
      </c>
      <c r="M2" s="10">
        <f t="shared" si="0"/>
        <v>0.499999999999999</v>
      </c>
      <c r="N2" s="10">
        <f t="shared" si="0"/>
        <v>0.54999999999999893</v>
      </c>
      <c r="O2" s="10">
        <f t="shared" si="0"/>
        <v>0.59999999999999898</v>
      </c>
      <c r="P2" s="10">
        <f t="shared" si="0"/>
        <v>0.64999999999999902</v>
      </c>
      <c r="Q2" s="10">
        <f t="shared" si="0"/>
        <v>0.69999999999999907</v>
      </c>
      <c r="R2" s="10">
        <f t="shared" si="0"/>
        <v>0.749999999999999</v>
      </c>
      <c r="S2" s="10">
        <f t="shared" si="0"/>
        <v>0.79999999999999893</v>
      </c>
      <c r="T2" s="10">
        <f t="shared" si="0"/>
        <v>0.84999999999999898</v>
      </c>
      <c r="U2" s="10">
        <f t="shared" si="0"/>
        <v>0.89999999999999902</v>
      </c>
      <c r="V2" s="11">
        <f t="shared" si="0"/>
        <v>0.94999999999999907</v>
      </c>
      <c r="X2" s="12">
        <v>10</v>
      </c>
      <c r="Y2" s="12">
        <f t="shared" ref="Y2:Y26" si="1">X2*$Y$28</f>
        <v>8.5</v>
      </c>
    </row>
    <row r="3" spans="1:25" ht="18.75" customHeight="1" x14ac:dyDescent="0.25">
      <c r="B3" s="1" t="s">
        <v>4</v>
      </c>
      <c r="C3" s="13" t="s">
        <v>5</v>
      </c>
      <c r="D3" s="14">
        <f t="shared" ref="D3:V3" si="2">$B$1/D2</f>
        <v>19.999999999999982</v>
      </c>
      <c r="E3" s="15">
        <f t="shared" si="2"/>
        <v>10.000000000000002</v>
      </c>
      <c r="F3" s="15">
        <f t="shared" si="2"/>
        <v>6.6666666666666661</v>
      </c>
      <c r="G3" s="15">
        <f t="shared" si="2"/>
        <v>5.0000000000000009</v>
      </c>
      <c r="H3" s="15">
        <f t="shared" si="2"/>
        <v>4</v>
      </c>
      <c r="I3" s="15">
        <f t="shared" si="2"/>
        <v>3.333333333333333</v>
      </c>
      <c r="J3" s="15">
        <f t="shared" si="2"/>
        <v>2.8571428571428572</v>
      </c>
      <c r="K3" s="15">
        <f t="shared" si="2"/>
        <v>2.5</v>
      </c>
      <c r="L3" s="15">
        <f t="shared" si="2"/>
        <v>2.2222222222222272</v>
      </c>
      <c r="M3" s="15">
        <f t="shared" si="2"/>
        <v>2.000000000000004</v>
      </c>
      <c r="N3" s="15">
        <f t="shared" si="2"/>
        <v>1.8181818181818217</v>
      </c>
      <c r="O3" s="15">
        <f t="shared" si="2"/>
        <v>1.6666666666666694</v>
      </c>
      <c r="P3" s="15">
        <f t="shared" si="2"/>
        <v>1.5384615384615408</v>
      </c>
      <c r="Q3" s="15">
        <f t="shared" si="2"/>
        <v>1.4285714285714304</v>
      </c>
      <c r="R3" s="15">
        <f t="shared" si="2"/>
        <v>1.333333333333335</v>
      </c>
      <c r="S3" s="15">
        <f t="shared" si="2"/>
        <v>1.2500000000000018</v>
      </c>
      <c r="T3" s="15">
        <f t="shared" si="2"/>
        <v>1.1764705882352955</v>
      </c>
      <c r="U3" s="15">
        <f t="shared" si="2"/>
        <v>1.1111111111111123</v>
      </c>
      <c r="V3" s="16">
        <f t="shared" si="2"/>
        <v>1.0526315789473695</v>
      </c>
      <c r="X3" s="10">
        <v>11</v>
      </c>
      <c r="Y3" s="10">
        <f t="shared" si="1"/>
        <v>9.35</v>
      </c>
    </row>
    <row r="4" spans="1:25" ht="18.75" customHeight="1" x14ac:dyDescent="0.25">
      <c r="X4" s="10">
        <v>12</v>
      </c>
      <c r="Y4" s="10">
        <f t="shared" si="1"/>
        <v>10.199999999999999</v>
      </c>
    </row>
    <row r="5" spans="1:25" ht="18.75" customHeight="1" x14ac:dyDescent="0.25">
      <c r="D5" s="68" t="s">
        <v>6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70"/>
      <c r="X5" s="10">
        <v>13</v>
      </c>
      <c r="Y5" s="10">
        <f t="shared" si="1"/>
        <v>11.049999999999999</v>
      </c>
    </row>
    <row r="6" spans="1:25" ht="18.75" customHeight="1" x14ac:dyDescent="0.25">
      <c r="A6" s="17"/>
      <c r="B6" s="71" t="s">
        <v>7</v>
      </c>
      <c r="C6" s="2">
        <v>12</v>
      </c>
      <c r="D6" s="18">
        <f t="shared" ref="D6:V6" si="3">$C$6*D3</f>
        <v>239.99999999999977</v>
      </c>
      <c r="E6" s="19">
        <f t="shared" si="3"/>
        <v>120.00000000000003</v>
      </c>
      <c r="F6" s="19">
        <f t="shared" si="3"/>
        <v>80</v>
      </c>
      <c r="G6" s="19">
        <f t="shared" si="3"/>
        <v>60.000000000000014</v>
      </c>
      <c r="H6" s="19">
        <f t="shared" si="3"/>
        <v>48</v>
      </c>
      <c r="I6" s="19">
        <f t="shared" si="3"/>
        <v>40</v>
      </c>
      <c r="J6" s="20">
        <f t="shared" si="3"/>
        <v>34.285714285714285</v>
      </c>
      <c r="K6" s="20">
        <f t="shared" si="3"/>
        <v>30</v>
      </c>
      <c r="L6" s="20">
        <f t="shared" si="3"/>
        <v>26.666666666666728</v>
      </c>
      <c r="M6" s="20">
        <f t="shared" si="3"/>
        <v>24.00000000000005</v>
      </c>
      <c r="N6" s="20">
        <f t="shared" si="3"/>
        <v>21.818181818181859</v>
      </c>
      <c r="O6" s="20">
        <f t="shared" si="3"/>
        <v>20.000000000000032</v>
      </c>
      <c r="P6" s="20">
        <f t="shared" si="3"/>
        <v>18.461538461538488</v>
      </c>
      <c r="Q6" s="20">
        <f t="shared" si="3"/>
        <v>17.142857142857164</v>
      </c>
      <c r="R6" s="20">
        <f t="shared" si="3"/>
        <v>16.000000000000021</v>
      </c>
      <c r="S6" s="20">
        <f t="shared" si="3"/>
        <v>15.000000000000021</v>
      </c>
      <c r="T6" s="20">
        <f t="shared" si="3"/>
        <v>14.117647058823547</v>
      </c>
      <c r="U6" s="20">
        <f t="shared" si="3"/>
        <v>13.333333333333346</v>
      </c>
      <c r="V6" s="21">
        <f t="shared" si="3"/>
        <v>12.631578947368434</v>
      </c>
      <c r="X6" s="10">
        <v>14</v>
      </c>
      <c r="Y6" s="10">
        <f t="shared" si="1"/>
        <v>11.9</v>
      </c>
    </row>
    <row r="7" spans="1:25" ht="18.75" customHeight="1" x14ac:dyDescent="0.25">
      <c r="A7" s="17"/>
      <c r="B7" s="72"/>
      <c r="C7" s="8">
        <v>24</v>
      </c>
      <c r="D7" s="22">
        <f t="shared" ref="D7:V7" si="4">$C$7*D3</f>
        <v>479.99999999999955</v>
      </c>
      <c r="E7" s="23">
        <f t="shared" si="4"/>
        <v>240.00000000000006</v>
      </c>
      <c r="F7" s="23">
        <f t="shared" si="4"/>
        <v>160</v>
      </c>
      <c r="G7" s="23">
        <f t="shared" si="4"/>
        <v>120.00000000000003</v>
      </c>
      <c r="H7" s="23">
        <f t="shared" si="4"/>
        <v>96</v>
      </c>
      <c r="I7" s="23">
        <f t="shared" si="4"/>
        <v>80</v>
      </c>
      <c r="J7" s="23">
        <f t="shared" si="4"/>
        <v>68.571428571428569</v>
      </c>
      <c r="K7" s="23">
        <f t="shared" si="4"/>
        <v>60</v>
      </c>
      <c r="L7" s="23">
        <f t="shared" si="4"/>
        <v>53.333333333333456</v>
      </c>
      <c r="M7" s="23">
        <f t="shared" si="4"/>
        <v>48.000000000000099</v>
      </c>
      <c r="N7" s="23">
        <f t="shared" si="4"/>
        <v>43.636363636363718</v>
      </c>
      <c r="O7" s="23">
        <f t="shared" si="4"/>
        <v>40.000000000000064</v>
      </c>
      <c r="P7" s="23">
        <f t="shared" si="4"/>
        <v>36.923076923076977</v>
      </c>
      <c r="Q7" s="24">
        <f t="shared" si="4"/>
        <v>34.285714285714327</v>
      </c>
      <c r="R7" s="24">
        <f t="shared" si="4"/>
        <v>32.000000000000043</v>
      </c>
      <c r="S7" s="24">
        <f t="shared" si="4"/>
        <v>30.000000000000043</v>
      </c>
      <c r="T7" s="24">
        <f t="shared" si="4"/>
        <v>28.235294117647094</v>
      </c>
      <c r="U7" s="24">
        <f t="shared" si="4"/>
        <v>26.666666666666693</v>
      </c>
      <c r="V7" s="25">
        <f t="shared" si="4"/>
        <v>25.263157894736867</v>
      </c>
      <c r="X7" s="10">
        <v>15</v>
      </c>
      <c r="Y7" s="10">
        <f t="shared" si="1"/>
        <v>12.75</v>
      </c>
    </row>
    <row r="8" spans="1:25" ht="18.75" customHeight="1" x14ac:dyDescent="0.25">
      <c r="A8" s="17"/>
      <c r="B8" s="72"/>
      <c r="C8" s="8">
        <v>30</v>
      </c>
      <c r="D8" s="22">
        <f t="shared" ref="D8:V8" si="5">$C$8*D3</f>
        <v>599.99999999999943</v>
      </c>
      <c r="E8" s="23">
        <f t="shared" si="5"/>
        <v>300.00000000000006</v>
      </c>
      <c r="F8" s="23">
        <f t="shared" si="5"/>
        <v>199.99999999999997</v>
      </c>
      <c r="G8" s="23">
        <f t="shared" si="5"/>
        <v>150.00000000000003</v>
      </c>
      <c r="H8" s="23">
        <f t="shared" si="5"/>
        <v>120</v>
      </c>
      <c r="I8" s="23">
        <f t="shared" si="5"/>
        <v>99.999999999999986</v>
      </c>
      <c r="J8" s="23">
        <f t="shared" si="5"/>
        <v>85.714285714285722</v>
      </c>
      <c r="K8" s="23">
        <f t="shared" si="5"/>
        <v>75</v>
      </c>
      <c r="L8" s="23">
        <f t="shared" si="5"/>
        <v>66.666666666666814</v>
      </c>
      <c r="M8" s="23">
        <f t="shared" si="5"/>
        <v>60.000000000000121</v>
      </c>
      <c r="N8" s="23">
        <f t="shared" si="5"/>
        <v>54.545454545454653</v>
      </c>
      <c r="O8" s="23">
        <f t="shared" si="5"/>
        <v>50.000000000000085</v>
      </c>
      <c r="P8" s="23">
        <f t="shared" si="5"/>
        <v>46.153846153846224</v>
      </c>
      <c r="Q8" s="23">
        <f t="shared" si="5"/>
        <v>42.857142857142911</v>
      </c>
      <c r="R8" s="23">
        <f t="shared" si="5"/>
        <v>40.00000000000005</v>
      </c>
      <c r="S8" s="23">
        <f t="shared" si="5"/>
        <v>37.500000000000057</v>
      </c>
      <c r="T8" s="24">
        <f t="shared" si="5"/>
        <v>35.294117647058862</v>
      </c>
      <c r="U8" s="24">
        <f t="shared" si="5"/>
        <v>33.333333333333371</v>
      </c>
      <c r="V8" s="25">
        <f t="shared" si="5"/>
        <v>31.578947368421083</v>
      </c>
      <c r="X8" s="10">
        <v>16</v>
      </c>
      <c r="Y8" s="10">
        <f t="shared" si="1"/>
        <v>13.6</v>
      </c>
    </row>
    <row r="9" spans="1:25" ht="18.75" customHeight="1" x14ac:dyDescent="0.25">
      <c r="A9" s="17"/>
      <c r="B9" s="73"/>
      <c r="C9" s="13">
        <v>34</v>
      </c>
      <c r="D9" s="26">
        <f t="shared" ref="D9:V9" si="6">$C$9*D3</f>
        <v>679.99999999999943</v>
      </c>
      <c r="E9" s="27">
        <f t="shared" si="6"/>
        <v>340.00000000000006</v>
      </c>
      <c r="F9" s="27">
        <f t="shared" si="6"/>
        <v>226.66666666666666</v>
      </c>
      <c r="G9" s="27">
        <f t="shared" si="6"/>
        <v>170.00000000000003</v>
      </c>
      <c r="H9" s="27">
        <f t="shared" si="6"/>
        <v>136</v>
      </c>
      <c r="I9" s="27">
        <f t="shared" si="6"/>
        <v>113.33333333333333</v>
      </c>
      <c r="J9" s="27">
        <f t="shared" si="6"/>
        <v>97.142857142857139</v>
      </c>
      <c r="K9" s="27">
        <f t="shared" si="6"/>
        <v>85</v>
      </c>
      <c r="L9" s="27">
        <f t="shared" si="6"/>
        <v>75.555555555555728</v>
      </c>
      <c r="M9" s="27">
        <f t="shared" si="6"/>
        <v>68.000000000000142</v>
      </c>
      <c r="N9" s="27">
        <f t="shared" si="6"/>
        <v>61.818181818181934</v>
      </c>
      <c r="O9" s="27">
        <f t="shared" si="6"/>
        <v>56.666666666666757</v>
      </c>
      <c r="P9" s="27">
        <f t="shared" si="6"/>
        <v>52.307692307692385</v>
      </c>
      <c r="Q9" s="27">
        <f t="shared" si="6"/>
        <v>48.571428571428633</v>
      </c>
      <c r="R9" s="27">
        <f t="shared" si="6"/>
        <v>45.333333333333393</v>
      </c>
      <c r="S9" s="27">
        <f t="shared" si="6"/>
        <v>42.500000000000057</v>
      </c>
      <c r="T9" s="27">
        <f t="shared" si="6"/>
        <v>40.00000000000005</v>
      </c>
      <c r="U9" s="27">
        <f t="shared" si="6"/>
        <v>37.777777777777814</v>
      </c>
      <c r="V9" s="28">
        <f t="shared" si="6"/>
        <v>35.789473684210563</v>
      </c>
      <c r="X9" s="10">
        <v>17</v>
      </c>
      <c r="Y9" s="10">
        <f t="shared" si="1"/>
        <v>14.45</v>
      </c>
    </row>
    <row r="10" spans="1:25" ht="18.75" customHeight="1" x14ac:dyDescent="0.25">
      <c r="X10" s="10">
        <v>18</v>
      </c>
      <c r="Y10" s="10">
        <f t="shared" si="1"/>
        <v>15.299999999999999</v>
      </c>
    </row>
    <row r="11" spans="1:25" ht="18.75" customHeight="1" x14ac:dyDescent="0.25">
      <c r="X11" s="10">
        <v>19</v>
      </c>
      <c r="Y11" s="10">
        <f t="shared" si="1"/>
        <v>16.149999999999999</v>
      </c>
    </row>
    <row r="12" spans="1:25" ht="18.75" customHeight="1" x14ac:dyDescent="0.25">
      <c r="A12" s="29"/>
      <c r="B12" s="30"/>
      <c r="C12" s="30"/>
      <c r="D12" s="68" t="s">
        <v>8</v>
      </c>
      <c r="E12" s="69"/>
      <c r="F12" s="69"/>
      <c r="G12" s="69"/>
      <c r="H12" s="69"/>
      <c r="I12" s="69"/>
      <c r="J12" s="69"/>
      <c r="K12" s="70"/>
      <c r="X12" s="10">
        <v>20</v>
      </c>
      <c r="Y12" s="10">
        <f t="shared" si="1"/>
        <v>17</v>
      </c>
    </row>
    <row r="13" spans="1:25" ht="18.75" customHeight="1" x14ac:dyDescent="0.25">
      <c r="A13" s="29"/>
      <c r="B13" s="30"/>
      <c r="C13" s="30"/>
      <c r="D13" s="31">
        <v>5</v>
      </c>
      <c r="E13" s="32">
        <v>10</v>
      </c>
      <c r="F13" s="33">
        <v>15</v>
      </c>
      <c r="G13" s="33">
        <v>20</v>
      </c>
      <c r="H13" s="33">
        <v>25</v>
      </c>
      <c r="I13" s="33">
        <v>30</v>
      </c>
      <c r="J13" s="34">
        <v>34</v>
      </c>
      <c r="K13" s="35">
        <v>40</v>
      </c>
      <c r="X13" s="10">
        <v>21</v>
      </c>
      <c r="Y13" s="10">
        <f t="shared" si="1"/>
        <v>17.849999999999998</v>
      </c>
    </row>
    <row r="14" spans="1:25" ht="18.75" customHeight="1" x14ac:dyDescent="0.25">
      <c r="A14" s="17"/>
      <c r="B14" s="74" t="s">
        <v>9</v>
      </c>
      <c r="C14" s="36">
        <v>1</v>
      </c>
      <c r="D14" s="37">
        <f t="shared" ref="D14:D23" si="7">C14*$D$13</f>
        <v>5</v>
      </c>
      <c r="E14" s="38">
        <f t="shared" ref="E14:E23" si="8">C14*$E$13</f>
        <v>10</v>
      </c>
      <c r="F14" s="39">
        <f t="shared" ref="F14:F23" si="9">C14*$F$13</f>
        <v>15</v>
      </c>
      <c r="G14" s="39">
        <f t="shared" ref="G14:G23" si="10">C14*$G$13</f>
        <v>20</v>
      </c>
      <c r="H14" s="39">
        <f t="shared" ref="H14:H23" si="11">C14*$H$13</f>
        <v>25</v>
      </c>
      <c r="I14" s="39">
        <f t="shared" ref="I14:I23" si="12">C14*$I$13</f>
        <v>30</v>
      </c>
      <c r="J14" s="40">
        <f t="shared" ref="J14:J23" si="13">C14*$J$13</f>
        <v>34</v>
      </c>
      <c r="K14" s="41">
        <f t="shared" ref="K14:K23" si="14">C14*$K$13</f>
        <v>40</v>
      </c>
      <c r="X14" s="10">
        <v>22</v>
      </c>
      <c r="Y14" s="10">
        <f t="shared" si="1"/>
        <v>18.7</v>
      </c>
    </row>
    <row r="15" spans="1:25" ht="18.75" customHeight="1" x14ac:dyDescent="0.25">
      <c r="A15" s="17"/>
      <c r="B15" s="75"/>
      <c r="C15" s="42">
        <v>2</v>
      </c>
      <c r="D15" s="43">
        <f t="shared" si="7"/>
        <v>10</v>
      </c>
      <c r="E15" s="44">
        <f t="shared" si="8"/>
        <v>20</v>
      </c>
      <c r="F15" s="45">
        <f t="shared" si="9"/>
        <v>30</v>
      </c>
      <c r="G15" s="45">
        <f t="shared" si="10"/>
        <v>40</v>
      </c>
      <c r="H15" s="45">
        <f t="shared" si="11"/>
        <v>50</v>
      </c>
      <c r="I15" s="45">
        <f t="shared" si="12"/>
        <v>60</v>
      </c>
      <c r="J15" s="46">
        <f t="shared" si="13"/>
        <v>68</v>
      </c>
      <c r="K15" s="47">
        <f t="shared" si="14"/>
        <v>80</v>
      </c>
      <c r="X15" s="10">
        <v>23</v>
      </c>
      <c r="Y15" s="10">
        <f t="shared" si="1"/>
        <v>19.55</v>
      </c>
    </row>
    <row r="16" spans="1:25" ht="18.75" customHeight="1" x14ac:dyDescent="0.25">
      <c r="A16" s="17"/>
      <c r="B16" s="75"/>
      <c r="C16" s="42">
        <v>3</v>
      </c>
      <c r="D16" s="43">
        <f t="shared" si="7"/>
        <v>15</v>
      </c>
      <c r="E16" s="44">
        <f t="shared" si="8"/>
        <v>30</v>
      </c>
      <c r="F16" s="45">
        <f t="shared" si="9"/>
        <v>45</v>
      </c>
      <c r="G16" s="45">
        <f t="shared" si="10"/>
        <v>60</v>
      </c>
      <c r="H16" s="45">
        <f t="shared" si="11"/>
        <v>75</v>
      </c>
      <c r="I16" s="45">
        <f t="shared" si="12"/>
        <v>90</v>
      </c>
      <c r="J16" s="46">
        <f t="shared" si="13"/>
        <v>102</v>
      </c>
      <c r="K16" s="47">
        <f t="shared" si="14"/>
        <v>120</v>
      </c>
      <c r="X16" s="10">
        <v>24</v>
      </c>
      <c r="Y16" s="10">
        <f t="shared" si="1"/>
        <v>20.399999999999999</v>
      </c>
    </row>
    <row r="17" spans="1:25" ht="18.75" customHeight="1" x14ac:dyDescent="0.25">
      <c r="A17" s="17"/>
      <c r="B17" s="75"/>
      <c r="C17" s="42">
        <v>4</v>
      </c>
      <c r="D17" s="43">
        <f t="shared" si="7"/>
        <v>20</v>
      </c>
      <c r="E17" s="44">
        <f t="shared" si="8"/>
        <v>40</v>
      </c>
      <c r="F17" s="45">
        <f t="shared" si="9"/>
        <v>60</v>
      </c>
      <c r="G17" s="45">
        <f t="shared" si="10"/>
        <v>80</v>
      </c>
      <c r="H17" s="45">
        <f t="shared" si="11"/>
        <v>100</v>
      </c>
      <c r="I17" s="45">
        <f t="shared" si="12"/>
        <v>120</v>
      </c>
      <c r="J17" s="46">
        <f t="shared" si="13"/>
        <v>136</v>
      </c>
      <c r="K17" s="47">
        <f t="shared" si="14"/>
        <v>160</v>
      </c>
      <c r="X17" s="10">
        <v>25</v>
      </c>
      <c r="Y17" s="10">
        <f t="shared" si="1"/>
        <v>21.25</v>
      </c>
    </row>
    <row r="18" spans="1:25" ht="18.75" customHeight="1" x14ac:dyDescent="0.25">
      <c r="A18" s="17"/>
      <c r="B18" s="75"/>
      <c r="C18" s="42">
        <v>5</v>
      </c>
      <c r="D18" s="43">
        <f t="shared" si="7"/>
        <v>25</v>
      </c>
      <c r="E18" s="44">
        <f t="shared" si="8"/>
        <v>50</v>
      </c>
      <c r="F18" s="45">
        <f t="shared" si="9"/>
        <v>75</v>
      </c>
      <c r="G18" s="45">
        <f t="shared" si="10"/>
        <v>100</v>
      </c>
      <c r="H18" s="45">
        <f t="shared" si="11"/>
        <v>125</v>
      </c>
      <c r="I18" s="45">
        <f t="shared" si="12"/>
        <v>150</v>
      </c>
      <c r="J18" s="46">
        <f t="shared" si="13"/>
        <v>170</v>
      </c>
      <c r="K18" s="47">
        <f t="shared" si="14"/>
        <v>200</v>
      </c>
      <c r="X18" s="10">
        <v>26</v>
      </c>
      <c r="Y18" s="10">
        <f t="shared" si="1"/>
        <v>22.099999999999998</v>
      </c>
    </row>
    <row r="19" spans="1:25" ht="18.75" customHeight="1" x14ac:dyDescent="0.25">
      <c r="A19" s="17"/>
      <c r="B19" s="75"/>
      <c r="C19" s="42">
        <v>6</v>
      </c>
      <c r="D19" s="43">
        <f t="shared" si="7"/>
        <v>30</v>
      </c>
      <c r="E19" s="44">
        <f t="shared" si="8"/>
        <v>60</v>
      </c>
      <c r="F19" s="45">
        <f t="shared" si="9"/>
        <v>90</v>
      </c>
      <c r="G19" s="45">
        <f t="shared" si="10"/>
        <v>120</v>
      </c>
      <c r="H19" s="45">
        <f t="shared" si="11"/>
        <v>150</v>
      </c>
      <c r="I19" s="45">
        <f t="shared" si="12"/>
        <v>180</v>
      </c>
      <c r="J19" s="46">
        <f t="shared" si="13"/>
        <v>204</v>
      </c>
      <c r="K19" s="47">
        <f t="shared" si="14"/>
        <v>240</v>
      </c>
      <c r="X19" s="10">
        <v>27</v>
      </c>
      <c r="Y19" s="10">
        <f t="shared" si="1"/>
        <v>22.95</v>
      </c>
    </row>
    <row r="20" spans="1:25" ht="18.75" customHeight="1" x14ac:dyDescent="0.25">
      <c r="A20" s="17"/>
      <c r="B20" s="75"/>
      <c r="C20" s="42">
        <v>7</v>
      </c>
      <c r="D20" s="43">
        <f t="shared" si="7"/>
        <v>35</v>
      </c>
      <c r="E20" s="44">
        <f t="shared" si="8"/>
        <v>70</v>
      </c>
      <c r="F20" s="45">
        <f t="shared" si="9"/>
        <v>105</v>
      </c>
      <c r="G20" s="45">
        <f t="shared" si="10"/>
        <v>140</v>
      </c>
      <c r="H20" s="45">
        <f t="shared" si="11"/>
        <v>175</v>
      </c>
      <c r="I20" s="45">
        <f t="shared" si="12"/>
        <v>210</v>
      </c>
      <c r="J20" s="46">
        <f t="shared" si="13"/>
        <v>238</v>
      </c>
      <c r="K20" s="47">
        <f t="shared" si="14"/>
        <v>280</v>
      </c>
      <c r="X20" s="10">
        <v>28</v>
      </c>
      <c r="Y20" s="10">
        <f t="shared" si="1"/>
        <v>23.8</v>
      </c>
    </row>
    <row r="21" spans="1:25" ht="18.75" customHeight="1" x14ac:dyDescent="0.25">
      <c r="A21" s="17"/>
      <c r="B21" s="75"/>
      <c r="C21" s="42">
        <v>8</v>
      </c>
      <c r="D21" s="43">
        <f t="shared" si="7"/>
        <v>40</v>
      </c>
      <c r="E21" s="44">
        <f t="shared" si="8"/>
        <v>80</v>
      </c>
      <c r="F21" s="45">
        <f t="shared" si="9"/>
        <v>120</v>
      </c>
      <c r="G21" s="45">
        <f t="shared" si="10"/>
        <v>160</v>
      </c>
      <c r="H21" s="45">
        <f t="shared" si="11"/>
        <v>200</v>
      </c>
      <c r="I21" s="45">
        <f t="shared" si="12"/>
        <v>240</v>
      </c>
      <c r="J21" s="46">
        <f t="shared" si="13"/>
        <v>272</v>
      </c>
      <c r="K21" s="47">
        <f t="shared" si="14"/>
        <v>320</v>
      </c>
      <c r="X21" s="10">
        <v>29</v>
      </c>
      <c r="Y21" s="10">
        <f t="shared" si="1"/>
        <v>24.65</v>
      </c>
    </row>
    <row r="22" spans="1:25" ht="18.75" customHeight="1" x14ac:dyDescent="0.25">
      <c r="A22" s="17"/>
      <c r="B22" s="75"/>
      <c r="C22" s="42">
        <v>9</v>
      </c>
      <c r="D22" s="43">
        <f t="shared" si="7"/>
        <v>45</v>
      </c>
      <c r="E22" s="44">
        <f t="shared" si="8"/>
        <v>90</v>
      </c>
      <c r="F22" s="45">
        <f t="shared" si="9"/>
        <v>135</v>
      </c>
      <c r="G22" s="45">
        <f t="shared" si="10"/>
        <v>180</v>
      </c>
      <c r="H22" s="45">
        <f t="shared" si="11"/>
        <v>225</v>
      </c>
      <c r="I22" s="45">
        <f t="shared" si="12"/>
        <v>270</v>
      </c>
      <c r="J22" s="46">
        <f t="shared" si="13"/>
        <v>306</v>
      </c>
      <c r="K22" s="47">
        <f t="shared" si="14"/>
        <v>360</v>
      </c>
      <c r="X22" s="10">
        <v>30</v>
      </c>
      <c r="Y22" s="10">
        <f t="shared" si="1"/>
        <v>25.5</v>
      </c>
    </row>
    <row r="23" spans="1:25" ht="18.75" customHeight="1" x14ac:dyDescent="0.25">
      <c r="A23" s="17"/>
      <c r="B23" s="76"/>
      <c r="C23" s="48">
        <v>10</v>
      </c>
      <c r="D23" s="49">
        <f t="shared" si="7"/>
        <v>50</v>
      </c>
      <c r="E23" s="50">
        <f t="shared" si="8"/>
        <v>100</v>
      </c>
      <c r="F23" s="51">
        <f t="shared" si="9"/>
        <v>150</v>
      </c>
      <c r="G23" s="51">
        <f t="shared" si="10"/>
        <v>200</v>
      </c>
      <c r="H23" s="51">
        <f t="shared" si="11"/>
        <v>250</v>
      </c>
      <c r="I23" s="51">
        <f t="shared" si="12"/>
        <v>300</v>
      </c>
      <c r="J23" s="52">
        <f t="shared" si="13"/>
        <v>340</v>
      </c>
      <c r="K23" s="53">
        <f t="shared" si="14"/>
        <v>400</v>
      </c>
      <c r="X23" s="10">
        <v>31</v>
      </c>
      <c r="Y23" s="10">
        <f t="shared" si="1"/>
        <v>26.349999999999998</v>
      </c>
    </row>
    <row r="24" spans="1:25" ht="18.75" customHeight="1" x14ac:dyDescent="0.25">
      <c r="X24" s="10">
        <v>32</v>
      </c>
      <c r="Y24" s="10">
        <f t="shared" si="1"/>
        <v>27.2</v>
      </c>
    </row>
    <row r="25" spans="1:25" ht="18.75" customHeight="1" x14ac:dyDescent="0.25">
      <c r="X25" s="10">
        <v>33</v>
      </c>
      <c r="Y25" s="10">
        <f t="shared" si="1"/>
        <v>28.05</v>
      </c>
    </row>
    <row r="26" spans="1:25" ht="18.75" customHeight="1" x14ac:dyDescent="0.25">
      <c r="X26" s="10">
        <v>34</v>
      </c>
      <c r="Y26" s="10">
        <f t="shared" si="1"/>
        <v>28.9</v>
      </c>
    </row>
    <row r="27" spans="1:25" ht="18.75" customHeight="1" x14ac:dyDescent="0.25"/>
    <row r="28" spans="1:25" ht="18.75" customHeight="1" x14ac:dyDescent="0.25">
      <c r="X28" s="54" t="s">
        <v>10</v>
      </c>
      <c r="Y28" s="1">
        <v>0.85</v>
      </c>
    </row>
    <row r="29" spans="1:25" ht="18.75" customHeight="1" x14ac:dyDescent="0.25"/>
    <row r="30" spans="1:25" ht="18.75" customHeight="1" x14ac:dyDescent="0.25">
      <c r="A30" s="77" t="s">
        <v>8</v>
      </c>
      <c r="B30" s="55" t="s">
        <v>11</v>
      </c>
      <c r="C30" s="56">
        <v>71</v>
      </c>
      <c r="D30" s="56">
        <v>1</v>
      </c>
      <c r="E30" s="56">
        <v>1.25</v>
      </c>
      <c r="F30" s="56"/>
      <c r="G30" s="56"/>
      <c r="H30" s="56"/>
      <c r="I30" s="56"/>
      <c r="J30" s="56"/>
      <c r="K30" s="57"/>
    </row>
    <row r="31" spans="1:25" ht="18.75" customHeight="1" x14ac:dyDescent="0.25">
      <c r="A31" s="78"/>
      <c r="B31" s="55" t="s">
        <v>12</v>
      </c>
      <c r="C31" s="56">
        <v>10</v>
      </c>
      <c r="D31" s="56">
        <v>9.5</v>
      </c>
      <c r="E31" s="56">
        <v>9</v>
      </c>
      <c r="F31" s="56">
        <v>8.5</v>
      </c>
      <c r="G31" s="56">
        <v>8</v>
      </c>
      <c r="H31" s="56">
        <v>7.5</v>
      </c>
      <c r="I31" s="56">
        <v>7</v>
      </c>
      <c r="J31" s="56">
        <v>6.5</v>
      </c>
      <c r="K31" s="56">
        <v>6</v>
      </c>
      <c r="L31" s="56">
        <v>5.5</v>
      </c>
      <c r="M31" s="56">
        <v>5</v>
      </c>
      <c r="N31" s="56">
        <v>4.5</v>
      </c>
      <c r="O31" s="56">
        <v>4</v>
      </c>
      <c r="P31" s="56">
        <v>3.9</v>
      </c>
      <c r="Q31" s="56">
        <v>3</v>
      </c>
      <c r="R31" s="56">
        <v>2.7</v>
      </c>
      <c r="S31" s="56"/>
      <c r="T31" s="56"/>
      <c r="U31" s="57"/>
    </row>
    <row r="32" spans="1:25" ht="18.75" customHeight="1" x14ac:dyDescent="0.25">
      <c r="A32" s="78"/>
      <c r="B32" s="58"/>
      <c r="C32" s="59">
        <f t="shared" ref="C32:R32" si="15">$C$30/C31</f>
        <v>7.1</v>
      </c>
      <c r="D32" s="59">
        <f t="shared" si="15"/>
        <v>7.4736842105263159</v>
      </c>
      <c r="E32" s="59">
        <f t="shared" si="15"/>
        <v>7.8888888888888893</v>
      </c>
      <c r="F32" s="59">
        <f t="shared" si="15"/>
        <v>8.3529411764705888</v>
      </c>
      <c r="G32" s="59">
        <f t="shared" si="15"/>
        <v>8.875</v>
      </c>
      <c r="H32" s="59">
        <f t="shared" si="15"/>
        <v>9.4666666666666668</v>
      </c>
      <c r="I32" s="59">
        <f t="shared" si="15"/>
        <v>10.142857142857142</v>
      </c>
      <c r="J32" s="59">
        <f t="shared" si="15"/>
        <v>10.923076923076923</v>
      </c>
      <c r="K32" s="59">
        <f t="shared" si="15"/>
        <v>11.833333333333334</v>
      </c>
      <c r="L32" s="59">
        <f t="shared" si="15"/>
        <v>12.909090909090908</v>
      </c>
      <c r="M32" s="59">
        <f t="shared" si="15"/>
        <v>14.2</v>
      </c>
      <c r="N32" s="59">
        <f t="shared" si="15"/>
        <v>15.777777777777779</v>
      </c>
      <c r="O32" s="59">
        <f t="shared" si="15"/>
        <v>17.75</v>
      </c>
      <c r="P32" s="59">
        <f t="shared" si="15"/>
        <v>18.205128205128204</v>
      </c>
      <c r="Q32" s="59">
        <f t="shared" si="15"/>
        <v>23.666666666666668</v>
      </c>
      <c r="R32" s="59">
        <f t="shared" si="15"/>
        <v>26.296296296296294</v>
      </c>
      <c r="S32" s="59"/>
      <c r="T32" s="59"/>
      <c r="U32" s="60"/>
      <c r="V32" s="59"/>
    </row>
    <row r="33" spans="1:22" ht="18.75" customHeight="1" x14ac:dyDescent="0.25">
      <c r="A33" s="78"/>
      <c r="B33" s="58"/>
      <c r="C33" s="59">
        <f t="shared" ref="C33:R33" si="16">C32+$D$30</f>
        <v>8.1</v>
      </c>
      <c r="D33" s="59">
        <f t="shared" si="16"/>
        <v>8.473684210526315</v>
      </c>
      <c r="E33" s="59">
        <f t="shared" si="16"/>
        <v>8.8888888888888893</v>
      </c>
      <c r="F33" s="59">
        <f t="shared" si="16"/>
        <v>9.3529411764705888</v>
      </c>
      <c r="G33" s="59">
        <f t="shared" si="16"/>
        <v>9.875</v>
      </c>
      <c r="H33" s="59">
        <f t="shared" si="16"/>
        <v>10.466666666666667</v>
      </c>
      <c r="I33" s="59">
        <f t="shared" si="16"/>
        <v>11.142857142857142</v>
      </c>
      <c r="J33" s="59">
        <f t="shared" si="16"/>
        <v>11.923076923076923</v>
      </c>
      <c r="K33" s="59">
        <f t="shared" si="16"/>
        <v>12.833333333333334</v>
      </c>
      <c r="L33" s="59">
        <f t="shared" si="16"/>
        <v>13.909090909090908</v>
      </c>
      <c r="M33" s="59">
        <f t="shared" si="16"/>
        <v>15.2</v>
      </c>
      <c r="N33" s="59">
        <f t="shared" si="16"/>
        <v>16.777777777777779</v>
      </c>
      <c r="O33" s="59">
        <f t="shared" si="16"/>
        <v>18.75</v>
      </c>
      <c r="P33" s="59">
        <f t="shared" si="16"/>
        <v>19.205128205128204</v>
      </c>
      <c r="Q33" s="59">
        <f t="shared" si="16"/>
        <v>24.666666666666668</v>
      </c>
      <c r="R33" s="59">
        <f t="shared" si="16"/>
        <v>27.296296296296294</v>
      </c>
      <c r="U33" s="61"/>
    </row>
    <row r="34" spans="1:22" ht="18.75" customHeight="1" x14ac:dyDescent="0.25">
      <c r="A34" s="79"/>
      <c r="B34" s="62" t="s">
        <v>1</v>
      </c>
      <c r="C34" s="63">
        <f t="shared" ref="C34:R34" si="17">C33*$E$30</f>
        <v>10.125</v>
      </c>
      <c r="D34" s="63">
        <f t="shared" si="17"/>
        <v>10.592105263157894</v>
      </c>
      <c r="E34" s="63">
        <f t="shared" si="17"/>
        <v>11.111111111111111</v>
      </c>
      <c r="F34" s="63">
        <f t="shared" si="17"/>
        <v>11.691176470588236</v>
      </c>
      <c r="G34" s="63">
        <f t="shared" si="17"/>
        <v>12.34375</v>
      </c>
      <c r="H34" s="63">
        <f t="shared" si="17"/>
        <v>13.083333333333334</v>
      </c>
      <c r="I34" s="63">
        <f t="shared" si="17"/>
        <v>13.928571428571427</v>
      </c>
      <c r="J34" s="63">
        <f t="shared" si="17"/>
        <v>14.903846153846153</v>
      </c>
      <c r="K34" s="63">
        <f t="shared" si="17"/>
        <v>16.041666666666668</v>
      </c>
      <c r="L34" s="63">
        <f t="shared" si="17"/>
        <v>17.386363636363637</v>
      </c>
      <c r="M34" s="63">
        <f t="shared" si="17"/>
        <v>19</v>
      </c>
      <c r="N34" s="63">
        <f t="shared" si="17"/>
        <v>20.972222222222221</v>
      </c>
      <c r="O34" s="63">
        <f t="shared" si="17"/>
        <v>23.4375</v>
      </c>
      <c r="P34" s="63">
        <f t="shared" si="17"/>
        <v>24.006410256410255</v>
      </c>
      <c r="Q34" s="63">
        <f t="shared" si="17"/>
        <v>30.833333333333336</v>
      </c>
      <c r="R34" s="63">
        <f t="shared" si="17"/>
        <v>34.120370370370367</v>
      </c>
      <c r="S34" s="63"/>
      <c r="T34" s="63"/>
      <c r="U34" s="64"/>
    </row>
    <row r="35" spans="1:22" ht="18.75" customHeight="1" x14ac:dyDescent="0.25"/>
    <row r="36" spans="1:22" ht="18.75" customHeight="1" x14ac:dyDescent="0.25">
      <c r="A36" s="77" t="s">
        <v>13</v>
      </c>
      <c r="B36" s="55" t="s">
        <v>14</v>
      </c>
      <c r="C36" s="56">
        <v>1368</v>
      </c>
      <c r="D36" s="56">
        <v>1</v>
      </c>
      <c r="E36" s="56">
        <v>1.02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7"/>
    </row>
    <row r="37" spans="1:22" ht="18.75" customHeight="1" x14ac:dyDescent="0.25">
      <c r="A37" s="78"/>
      <c r="B37" s="58" t="s">
        <v>15</v>
      </c>
      <c r="C37" s="1">
        <v>100</v>
      </c>
      <c r="D37" s="1">
        <v>95</v>
      </c>
      <c r="E37" s="1">
        <v>90</v>
      </c>
      <c r="F37" s="1">
        <v>85</v>
      </c>
      <c r="G37" s="1">
        <v>80</v>
      </c>
      <c r="H37" s="1">
        <v>75</v>
      </c>
      <c r="I37" s="1">
        <v>70</v>
      </c>
      <c r="J37" s="1">
        <v>65</v>
      </c>
      <c r="K37" s="1">
        <v>60</v>
      </c>
      <c r="L37" s="1">
        <v>55</v>
      </c>
      <c r="M37" s="1">
        <v>50</v>
      </c>
      <c r="N37" s="1">
        <v>45</v>
      </c>
      <c r="O37" s="1">
        <v>40</v>
      </c>
      <c r="P37" s="61">
        <v>35</v>
      </c>
    </row>
    <row r="38" spans="1:22" ht="18.75" customHeight="1" x14ac:dyDescent="0.25">
      <c r="A38" s="78"/>
      <c r="B38" s="58"/>
      <c r="C38" s="65">
        <f t="shared" ref="C38:P38" si="18">$C$36/C37</f>
        <v>13.68</v>
      </c>
      <c r="D38" s="59">
        <f t="shared" si="18"/>
        <v>14.4</v>
      </c>
      <c r="E38" s="59">
        <f t="shared" si="18"/>
        <v>15.2</v>
      </c>
      <c r="F38" s="59">
        <f t="shared" si="18"/>
        <v>16.094117647058823</v>
      </c>
      <c r="G38" s="59">
        <f t="shared" si="18"/>
        <v>17.100000000000001</v>
      </c>
      <c r="H38" s="59">
        <f t="shared" si="18"/>
        <v>18.239999999999998</v>
      </c>
      <c r="I38" s="59">
        <f t="shared" si="18"/>
        <v>19.542857142857144</v>
      </c>
      <c r="J38" s="59">
        <f t="shared" si="18"/>
        <v>21.046153846153846</v>
      </c>
      <c r="K38" s="59">
        <f t="shared" si="18"/>
        <v>22.8</v>
      </c>
      <c r="L38" s="59">
        <f t="shared" si="18"/>
        <v>24.872727272727271</v>
      </c>
      <c r="M38" s="59">
        <f t="shared" si="18"/>
        <v>27.36</v>
      </c>
      <c r="N38" s="59">
        <f t="shared" si="18"/>
        <v>30.4</v>
      </c>
      <c r="O38" s="59">
        <f t="shared" si="18"/>
        <v>34.200000000000003</v>
      </c>
      <c r="P38" s="60">
        <f t="shared" si="18"/>
        <v>39.085714285714289</v>
      </c>
      <c r="Q38" s="59"/>
      <c r="R38" s="59"/>
      <c r="S38" s="59"/>
      <c r="T38" s="59"/>
      <c r="U38" s="59"/>
      <c r="V38" s="59"/>
    </row>
    <row r="39" spans="1:22" ht="18.75" customHeight="1" x14ac:dyDescent="0.25">
      <c r="A39" s="78"/>
      <c r="B39" s="58"/>
      <c r="C39" s="65">
        <f t="shared" ref="C39:P39" si="19">C38+$D$30</f>
        <v>14.68</v>
      </c>
      <c r="D39" s="59">
        <f t="shared" si="19"/>
        <v>15.4</v>
      </c>
      <c r="E39" s="59">
        <f t="shared" si="19"/>
        <v>16.2</v>
      </c>
      <c r="F39" s="59">
        <f t="shared" si="19"/>
        <v>17.094117647058823</v>
      </c>
      <c r="G39" s="59">
        <f t="shared" si="19"/>
        <v>18.100000000000001</v>
      </c>
      <c r="H39" s="59">
        <f t="shared" si="19"/>
        <v>19.239999999999998</v>
      </c>
      <c r="I39" s="59">
        <f t="shared" si="19"/>
        <v>20.542857142857144</v>
      </c>
      <c r="J39" s="59">
        <f t="shared" si="19"/>
        <v>22.046153846153846</v>
      </c>
      <c r="K39" s="59">
        <f t="shared" si="19"/>
        <v>23.8</v>
      </c>
      <c r="L39" s="59">
        <f t="shared" si="19"/>
        <v>25.872727272727271</v>
      </c>
      <c r="M39" s="59">
        <f t="shared" si="19"/>
        <v>28.36</v>
      </c>
      <c r="N39" s="59">
        <f t="shared" si="19"/>
        <v>31.4</v>
      </c>
      <c r="O39" s="59">
        <f t="shared" si="19"/>
        <v>35.200000000000003</v>
      </c>
      <c r="P39" s="60">
        <f t="shared" si="19"/>
        <v>40.085714285714289</v>
      </c>
    </row>
    <row r="40" spans="1:22" ht="18.75" customHeight="1" x14ac:dyDescent="0.25">
      <c r="A40" s="79"/>
      <c r="B40" s="62" t="s">
        <v>16</v>
      </c>
      <c r="C40" s="63">
        <f t="shared" ref="C40:P40" si="20">C39*$E$36</f>
        <v>14.973599999999999</v>
      </c>
      <c r="D40" s="63">
        <f t="shared" si="20"/>
        <v>15.708</v>
      </c>
      <c r="E40" s="63">
        <f t="shared" si="20"/>
        <v>16.524000000000001</v>
      </c>
      <c r="F40" s="63">
        <f t="shared" si="20"/>
        <v>17.436</v>
      </c>
      <c r="G40" s="63">
        <f t="shared" si="20"/>
        <v>18.462000000000003</v>
      </c>
      <c r="H40" s="63">
        <f t="shared" si="20"/>
        <v>19.6248</v>
      </c>
      <c r="I40" s="63">
        <f t="shared" si="20"/>
        <v>20.953714285714288</v>
      </c>
      <c r="J40" s="63">
        <f t="shared" si="20"/>
        <v>22.487076923076923</v>
      </c>
      <c r="K40" s="63">
        <f t="shared" si="20"/>
        <v>24.276</v>
      </c>
      <c r="L40" s="63">
        <f t="shared" si="20"/>
        <v>26.390181818181816</v>
      </c>
      <c r="M40" s="63">
        <f t="shared" si="20"/>
        <v>28.927199999999999</v>
      </c>
      <c r="N40" s="63">
        <f t="shared" si="20"/>
        <v>32.027999999999999</v>
      </c>
      <c r="O40" s="63">
        <f t="shared" si="20"/>
        <v>35.904000000000003</v>
      </c>
      <c r="P40" s="64">
        <f t="shared" si="20"/>
        <v>40.887428571428572</v>
      </c>
      <c r="Q40" s="66"/>
      <c r="R40" s="66"/>
      <c r="S40" s="66"/>
      <c r="T40" s="66"/>
      <c r="U40" s="66"/>
      <c r="V40" s="66"/>
    </row>
    <row r="41" spans="1:22" ht="18.75" customHeight="1" x14ac:dyDescent="0.25"/>
    <row r="42" spans="1:22" ht="18.75" customHeight="1" x14ac:dyDescent="0.25"/>
    <row r="43" spans="1:22" ht="18.75" customHeight="1" x14ac:dyDescent="0.25"/>
    <row r="44" spans="1:22" ht="18.75" customHeight="1" x14ac:dyDescent="0.25"/>
    <row r="45" spans="1:22" ht="18.75" customHeight="1" x14ac:dyDescent="0.25"/>
    <row r="46" spans="1:22" ht="18.75" customHeight="1" x14ac:dyDescent="0.25"/>
    <row r="47" spans="1:22" ht="18.75" customHeight="1" x14ac:dyDescent="0.25"/>
    <row r="48" spans="1:22" ht="18.75" customHeight="1" x14ac:dyDescent="0.25"/>
    <row r="49" ht="18.75" customHeight="1" x14ac:dyDescent="0.25"/>
    <row r="50" ht="18.75" customHeight="1" x14ac:dyDescent="0.25"/>
    <row r="51" ht="18.75" customHeight="1" x14ac:dyDescent="0.25"/>
    <row r="52" ht="18.75" customHeight="1" x14ac:dyDescent="0.25"/>
    <row r="53" ht="18.75" customHeight="1" x14ac:dyDescent="0.25"/>
    <row r="54" ht="18.75" customHeight="1" x14ac:dyDescent="0.25"/>
    <row r="55" ht="18.75" customHeight="1" x14ac:dyDescent="0.25"/>
    <row r="56" ht="18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  <row r="66" ht="18.75" customHeight="1" x14ac:dyDescent="0.25"/>
    <row r="67" ht="18.75" customHeight="1" x14ac:dyDescent="0.25"/>
    <row r="68" ht="18.75" customHeight="1" x14ac:dyDescent="0.25"/>
    <row r="69" ht="18.75" customHeight="1" x14ac:dyDescent="0.25"/>
    <row r="70" ht="18.75" customHeight="1" x14ac:dyDescent="0.25"/>
    <row r="71" ht="18.75" customHeight="1" x14ac:dyDescent="0.25"/>
    <row r="72" ht="18.75" customHeight="1" x14ac:dyDescent="0.25"/>
    <row r="73" ht="18.75" customHeight="1" x14ac:dyDescent="0.25"/>
    <row r="74" ht="18.75" customHeight="1" x14ac:dyDescent="0.25"/>
    <row r="75" ht="18.75" customHeight="1" x14ac:dyDescent="0.25"/>
    <row r="76" ht="18.75" customHeight="1" x14ac:dyDescent="0.25"/>
    <row r="77" ht="18.75" customHeight="1" x14ac:dyDescent="0.25"/>
    <row r="78" ht="18.75" customHeight="1" x14ac:dyDescent="0.25"/>
    <row r="79" ht="18.75" customHeight="1" x14ac:dyDescent="0.25"/>
    <row r="80" ht="18.75" customHeight="1" x14ac:dyDescent="0.25"/>
    <row r="81" ht="18.75" customHeight="1" x14ac:dyDescent="0.25"/>
    <row r="82" ht="18.75" customHeight="1" x14ac:dyDescent="0.25"/>
    <row r="83" ht="18.75" customHeight="1" x14ac:dyDescent="0.25"/>
    <row r="84" ht="18.75" customHeight="1" x14ac:dyDescent="0.25"/>
    <row r="85" ht="18.75" customHeight="1" x14ac:dyDescent="0.25"/>
    <row r="86" ht="18.75" customHeight="1" x14ac:dyDescent="0.25"/>
    <row r="87" ht="18.75" customHeight="1" x14ac:dyDescent="0.25"/>
    <row r="88" ht="18.75" customHeight="1" x14ac:dyDescent="0.25"/>
    <row r="89" ht="18.75" customHeight="1" x14ac:dyDescent="0.25"/>
    <row r="90" ht="18.75" customHeight="1" x14ac:dyDescent="0.25"/>
    <row r="91" ht="18.75" customHeight="1" x14ac:dyDescent="0.25"/>
    <row r="92" ht="18.75" customHeight="1" x14ac:dyDescent="0.25"/>
    <row r="93" ht="18.75" customHeight="1" x14ac:dyDescent="0.25"/>
    <row r="94" ht="18.75" customHeight="1" x14ac:dyDescent="0.25"/>
    <row r="95" ht="18.75" customHeight="1" x14ac:dyDescent="0.25"/>
    <row r="96" ht="18.75" customHeight="1" x14ac:dyDescent="0.25"/>
    <row r="97" ht="18.75" customHeight="1" x14ac:dyDescent="0.25"/>
    <row r="98" ht="18.75" customHeight="1" x14ac:dyDescent="0.25"/>
    <row r="99" ht="18.75" customHeight="1" x14ac:dyDescent="0.25"/>
    <row r="100" ht="18.75" customHeight="1" x14ac:dyDescent="0.25"/>
    <row r="101" ht="18.75" customHeight="1" x14ac:dyDescent="0.25"/>
    <row r="102" ht="18.75" customHeight="1" x14ac:dyDescent="0.25"/>
    <row r="103" ht="18.75" customHeight="1" x14ac:dyDescent="0.25"/>
    <row r="104" ht="18.75" customHeight="1" x14ac:dyDescent="0.25"/>
    <row r="105" ht="18.75" customHeight="1" x14ac:dyDescent="0.25"/>
    <row r="106" ht="18.75" customHeight="1" x14ac:dyDescent="0.25"/>
    <row r="107" ht="18.75" customHeight="1" x14ac:dyDescent="0.25"/>
    <row r="108" ht="18.75" customHeight="1" x14ac:dyDescent="0.25"/>
    <row r="109" ht="18.75" customHeight="1" x14ac:dyDescent="0.25"/>
    <row r="110" ht="18.75" customHeight="1" x14ac:dyDescent="0.25"/>
    <row r="111" ht="18.75" customHeight="1" x14ac:dyDescent="0.25"/>
    <row r="112" ht="18.75" customHeight="1" x14ac:dyDescent="0.25"/>
    <row r="113" ht="18.75" customHeight="1" x14ac:dyDescent="0.25"/>
    <row r="114" ht="18.75" customHeight="1" x14ac:dyDescent="0.25"/>
    <row r="115" ht="18.75" customHeight="1" x14ac:dyDescent="0.25"/>
    <row r="116" ht="18.75" customHeight="1" x14ac:dyDescent="0.25"/>
    <row r="117" ht="18.75" customHeight="1" x14ac:dyDescent="0.25"/>
    <row r="118" ht="18.75" customHeight="1" x14ac:dyDescent="0.25"/>
    <row r="119" ht="18.75" customHeight="1" x14ac:dyDescent="0.25"/>
    <row r="120" ht="18.75" customHeight="1" x14ac:dyDescent="0.25"/>
    <row r="121" ht="18.75" customHeight="1" x14ac:dyDescent="0.25"/>
    <row r="122" ht="18.75" customHeight="1" x14ac:dyDescent="0.25"/>
    <row r="123" ht="18.75" customHeight="1" x14ac:dyDescent="0.25"/>
    <row r="124" ht="18.75" customHeight="1" x14ac:dyDescent="0.25"/>
    <row r="125" ht="18.75" customHeight="1" x14ac:dyDescent="0.25"/>
    <row r="126" ht="18.75" customHeight="1" x14ac:dyDescent="0.25"/>
    <row r="127" ht="18.75" customHeight="1" x14ac:dyDescent="0.25"/>
    <row r="128" ht="18.75" customHeight="1" x14ac:dyDescent="0.25"/>
    <row r="129" ht="18.75" customHeight="1" x14ac:dyDescent="0.25"/>
    <row r="130" ht="18.75" customHeight="1" x14ac:dyDescent="0.25"/>
    <row r="131" ht="18.75" customHeight="1" x14ac:dyDescent="0.25"/>
    <row r="132" ht="18.75" customHeight="1" x14ac:dyDescent="0.25"/>
    <row r="133" ht="18.75" customHeight="1" x14ac:dyDescent="0.25"/>
    <row r="134" ht="18.75" customHeight="1" x14ac:dyDescent="0.25"/>
    <row r="135" ht="18.75" customHeight="1" x14ac:dyDescent="0.25"/>
    <row r="136" ht="18.75" customHeight="1" x14ac:dyDescent="0.25"/>
    <row r="137" ht="18.75" customHeight="1" x14ac:dyDescent="0.25"/>
    <row r="138" ht="18.75" customHeight="1" x14ac:dyDescent="0.25"/>
    <row r="139" ht="18.75" customHeight="1" x14ac:dyDescent="0.25"/>
    <row r="140" ht="18.75" customHeight="1" x14ac:dyDescent="0.25"/>
    <row r="141" ht="18.75" customHeight="1" x14ac:dyDescent="0.25"/>
    <row r="142" ht="18.75" customHeight="1" x14ac:dyDescent="0.25"/>
    <row r="143" ht="18.75" customHeight="1" x14ac:dyDescent="0.25"/>
    <row r="144" ht="18.75" customHeight="1" x14ac:dyDescent="0.25"/>
    <row r="145" ht="18.75" customHeight="1" x14ac:dyDescent="0.25"/>
    <row r="146" ht="18.75" customHeight="1" x14ac:dyDescent="0.25"/>
    <row r="147" ht="18.75" customHeight="1" x14ac:dyDescent="0.25"/>
    <row r="148" ht="18.75" customHeight="1" x14ac:dyDescent="0.25"/>
    <row r="149" ht="18.75" customHeight="1" x14ac:dyDescent="0.25"/>
    <row r="150" ht="18.75" customHeight="1" x14ac:dyDescent="0.25"/>
    <row r="151" ht="18.75" customHeight="1" x14ac:dyDescent="0.25"/>
    <row r="152" ht="18.75" customHeight="1" x14ac:dyDescent="0.25"/>
    <row r="153" ht="18.75" customHeight="1" x14ac:dyDescent="0.25"/>
    <row r="154" ht="18.75" customHeight="1" x14ac:dyDescent="0.25"/>
    <row r="155" ht="18.75" customHeight="1" x14ac:dyDescent="0.25"/>
    <row r="156" ht="18.75" customHeight="1" x14ac:dyDescent="0.25"/>
    <row r="157" ht="18.75" customHeight="1" x14ac:dyDescent="0.25"/>
    <row r="158" ht="18.75" customHeight="1" x14ac:dyDescent="0.25"/>
    <row r="159" ht="18.75" customHeight="1" x14ac:dyDescent="0.25"/>
    <row r="160" ht="18.75" customHeight="1" x14ac:dyDescent="0.25"/>
    <row r="161" ht="18.75" customHeight="1" x14ac:dyDescent="0.25"/>
    <row r="162" ht="18.75" customHeight="1" x14ac:dyDescent="0.25"/>
    <row r="163" ht="18.75" customHeight="1" x14ac:dyDescent="0.25"/>
    <row r="164" ht="18.75" customHeight="1" x14ac:dyDescent="0.25"/>
    <row r="165" ht="18.75" customHeight="1" x14ac:dyDescent="0.25"/>
    <row r="166" ht="18.75" customHeight="1" x14ac:dyDescent="0.25"/>
    <row r="167" ht="18.75" customHeight="1" x14ac:dyDescent="0.25"/>
    <row r="168" ht="18.75" customHeight="1" x14ac:dyDescent="0.25"/>
    <row r="169" ht="18.75" customHeight="1" x14ac:dyDescent="0.25"/>
    <row r="170" ht="18.75" customHeight="1" x14ac:dyDescent="0.25"/>
    <row r="171" ht="18.75" customHeight="1" x14ac:dyDescent="0.25"/>
    <row r="172" ht="18.75" customHeight="1" x14ac:dyDescent="0.25"/>
    <row r="173" ht="18.75" customHeight="1" x14ac:dyDescent="0.25"/>
    <row r="174" ht="18.75" customHeight="1" x14ac:dyDescent="0.25"/>
    <row r="175" ht="18.75" customHeight="1" x14ac:dyDescent="0.25"/>
    <row r="176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8.75" customHeight="1" x14ac:dyDescent="0.25"/>
    <row r="487" ht="18.75" customHeight="1" x14ac:dyDescent="0.25"/>
    <row r="488" ht="18.75" customHeight="1" x14ac:dyDescent="0.25"/>
    <row r="489" ht="18.75" customHeight="1" x14ac:dyDescent="0.25"/>
    <row r="490" ht="18.75" customHeight="1" x14ac:dyDescent="0.25"/>
    <row r="491" ht="18.75" customHeight="1" x14ac:dyDescent="0.25"/>
    <row r="492" ht="18.75" customHeight="1" x14ac:dyDescent="0.25"/>
    <row r="493" ht="18.75" customHeight="1" x14ac:dyDescent="0.25"/>
    <row r="494" ht="18.75" customHeight="1" x14ac:dyDescent="0.25"/>
    <row r="495" ht="18.75" customHeight="1" x14ac:dyDescent="0.25"/>
    <row r="496" ht="18.75" customHeight="1" x14ac:dyDescent="0.25"/>
    <row r="497" ht="18.75" customHeight="1" x14ac:dyDescent="0.25"/>
    <row r="498" ht="18.75" customHeight="1" x14ac:dyDescent="0.25"/>
    <row r="499" ht="18.75" customHeight="1" x14ac:dyDescent="0.25"/>
    <row r="500" ht="18.75" customHeight="1" x14ac:dyDescent="0.25"/>
    <row r="501" ht="18.75" customHeight="1" x14ac:dyDescent="0.25"/>
    <row r="502" ht="18.75" customHeight="1" x14ac:dyDescent="0.25"/>
    <row r="503" ht="18.75" customHeight="1" x14ac:dyDescent="0.25"/>
    <row r="504" ht="18.75" customHeight="1" x14ac:dyDescent="0.25"/>
    <row r="505" ht="18.75" customHeight="1" x14ac:dyDescent="0.25"/>
    <row r="506" ht="18.75" customHeight="1" x14ac:dyDescent="0.25"/>
    <row r="507" ht="18.75" customHeight="1" x14ac:dyDescent="0.25"/>
    <row r="508" ht="18.75" customHeight="1" x14ac:dyDescent="0.25"/>
    <row r="509" ht="18.75" customHeight="1" x14ac:dyDescent="0.25"/>
    <row r="510" ht="18.75" customHeight="1" x14ac:dyDescent="0.25"/>
    <row r="511" ht="18.75" customHeight="1" x14ac:dyDescent="0.25"/>
    <row r="512" ht="18.75" customHeight="1" x14ac:dyDescent="0.25"/>
    <row r="513" ht="18.75" customHeight="1" x14ac:dyDescent="0.25"/>
    <row r="514" ht="18.75" customHeight="1" x14ac:dyDescent="0.25"/>
    <row r="515" ht="18.75" customHeight="1" x14ac:dyDescent="0.25"/>
    <row r="516" ht="18.75" customHeight="1" x14ac:dyDescent="0.25"/>
    <row r="517" ht="18.75" customHeight="1" x14ac:dyDescent="0.25"/>
    <row r="518" ht="18.75" customHeight="1" x14ac:dyDescent="0.25"/>
    <row r="519" ht="18.75" customHeight="1" x14ac:dyDescent="0.25"/>
    <row r="520" ht="18.75" customHeight="1" x14ac:dyDescent="0.25"/>
    <row r="521" ht="18.75" customHeight="1" x14ac:dyDescent="0.25"/>
    <row r="522" ht="18.75" customHeight="1" x14ac:dyDescent="0.25"/>
    <row r="523" ht="18.75" customHeight="1" x14ac:dyDescent="0.25"/>
    <row r="524" ht="18.75" customHeight="1" x14ac:dyDescent="0.25"/>
    <row r="525" ht="18.75" customHeight="1" x14ac:dyDescent="0.25"/>
    <row r="526" ht="18.75" customHeight="1" x14ac:dyDescent="0.25"/>
    <row r="527" ht="18.75" customHeight="1" x14ac:dyDescent="0.25"/>
    <row r="528" ht="18.75" customHeight="1" x14ac:dyDescent="0.25"/>
    <row r="529" ht="18.75" customHeight="1" x14ac:dyDescent="0.25"/>
    <row r="530" ht="18.75" customHeight="1" x14ac:dyDescent="0.25"/>
    <row r="531" ht="18.75" customHeight="1" x14ac:dyDescent="0.25"/>
    <row r="532" ht="18.75" customHeight="1" x14ac:dyDescent="0.25"/>
    <row r="533" ht="18.75" customHeight="1" x14ac:dyDescent="0.25"/>
    <row r="534" ht="18.75" customHeight="1" x14ac:dyDescent="0.25"/>
    <row r="535" ht="18.75" customHeight="1" x14ac:dyDescent="0.25"/>
    <row r="536" ht="18.75" customHeight="1" x14ac:dyDescent="0.25"/>
    <row r="537" ht="18.75" customHeight="1" x14ac:dyDescent="0.25"/>
    <row r="538" ht="18.75" customHeight="1" x14ac:dyDescent="0.25"/>
    <row r="539" ht="18.75" customHeight="1" x14ac:dyDescent="0.25"/>
    <row r="540" ht="18.75" customHeight="1" x14ac:dyDescent="0.25"/>
    <row r="541" ht="18.75" customHeight="1" x14ac:dyDescent="0.25"/>
    <row r="542" ht="18.75" customHeight="1" x14ac:dyDescent="0.25"/>
    <row r="543" ht="18.75" customHeight="1" x14ac:dyDescent="0.25"/>
    <row r="544" ht="18.75" customHeight="1" x14ac:dyDescent="0.25"/>
    <row r="545" ht="18.75" customHeight="1" x14ac:dyDescent="0.25"/>
    <row r="546" ht="18.75" customHeight="1" x14ac:dyDescent="0.25"/>
    <row r="547" ht="18.75" customHeight="1" x14ac:dyDescent="0.25"/>
    <row r="548" ht="18.75" customHeight="1" x14ac:dyDescent="0.25"/>
    <row r="549" ht="18.75" customHeight="1" x14ac:dyDescent="0.25"/>
    <row r="550" ht="18.75" customHeight="1" x14ac:dyDescent="0.25"/>
    <row r="551" ht="18.75" customHeight="1" x14ac:dyDescent="0.25"/>
    <row r="552" ht="18.75" customHeight="1" x14ac:dyDescent="0.25"/>
    <row r="553" ht="18.75" customHeight="1" x14ac:dyDescent="0.25"/>
    <row r="554" ht="18.75" customHeight="1" x14ac:dyDescent="0.25"/>
    <row r="555" ht="18.75" customHeight="1" x14ac:dyDescent="0.25"/>
    <row r="556" ht="18.75" customHeight="1" x14ac:dyDescent="0.25"/>
    <row r="557" ht="18.75" customHeight="1" x14ac:dyDescent="0.25"/>
    <row r="558" ht="18.75" customHeight="1" x14ac:dyDescent="0.25"/>
    <row r="559" ht="18.75" customHeight="1" x14ac:dyDescent="0.25"/>
    <row r="560" ht="18.75" customHeight="1" x14ac:dyDescent="0.25"/>
    <row r="561" ht="18.75" customHeight="1" x14ac:dyDescent="0.25"/>
    <row r="562" ht="18.75" customHeight="1" x14ac:dyDescent="0.25"/>
    <row r="563" ht="18.75" customHeight="1" x14ac:dyDescent="0.25"/>
    <row r="564" ht="18.75" customHeight="1" x14ac:dyDescent="0.25"/>
    <row r="565" ht="18.75" customHeight="1" x14ac:dyDescent="0.25"/>
    <row r="566" ht="18.75" customHeight="1" x14ac:dyDescent="0.25"/>
    <row r="567" ht="18.75" customHeight="1" x14ac:dyDescent="0.25"/>
    <row r="568" ht="18.75" customHeight="1" x14ac:dyDescent="0.25"/>
    <row r="569" ht="18.75" customHeight="1" x14ac:dyDescent="0.25"/>
    <row r="570" ht="18.75" customHeight="1" x14ac:dyDescent="0.25"/>
    <row r="571" ht="18.75" customHeight="1" x14ac:dyDescent="0.25"/>
    <row r="572" ht="18.75" customHeight="1" x14ac:dyDescent="0.25"/>
    <row r="573" ht="18.75" customHeight="1" x14ac:dyDescent="0.25"/>
    <row r="574" ht="18.75" customHeight="1" x14ac:dyDescent="0.25"/>
    <row r="575" ht="18.75" customHeight="1" x14ac:dyDescent="0.25"/>
    <row r="576" ht="18.75" customHeight="1" x14ac:dyDescent="0.25"/>
    <row r="577" ht="18.75" customHeight="1" x14ac:dyDescent="0.25"/>
    <row r="578" ht="18.75" customHeight="1" x14ac:dyDescent="0.25"/>
    <row r="579" ht="18.75" customHeight="1" x14ac:dyDescent="0.25"/>
    <row r="580" ht="18.75" customHeight="1" x14ac:dyDescent="0.25"/>
    <row r="581" ht="18.75" customHeight="1" x14ac:dyDescent="0.25"/>
    <row r="582" ht="18.75" customHeight="1" x14ac:dyDescent="0.25"/>
    <row r="583" ht="18.75" customHeight="1" x14ac:dyDescent="0.25"/>
    <row r="584" ht="18.75" customHeight="1" x14ac:dyDescent="0.25"/>
    <row r="585" ht="18.75" customHeight="1" x14ac:dyDescent="0.25"/>
    <row r="586" ht="18.75" customHeight="1" x14ac:dyDescent="0.25"/>
    <row r="587" ht="18.75" customHeight="1" x14ac:dyDescent="0.25"/>
    <row r="588" ht="18.75" customHeight="1" x14ac:dyDescent="0.25"/>
    <row r="589" ht="18.75" customHeight="1" x14ac:dyDescent="0.25"/>
    <row r="590" ht="18.75" customHeight="1" x14ac:dyDescent="0.25"/>
    <row r="591" ht="18.75" customHeight="1" x14ac:dyDescent="0.25"/>
    <row r="592" ht="18.75" customHeight="1" x14ac:dyDescent="0.25"/>
    <row r="593" ht="18.75" customHeight="1" x14ac:dyDescent="0.25"/>
    <row r="594" ht="18.75" customHeight="1" x14ac:dyDescent="0.25"/>
    <row r="595" ht="18.75" customHeight="1" x14ac:dyDescent="0.25"/>
    <row r="596" ht="18.75" customHeight="1" x14ac:dyDescent="0.25"/>
    <row r="597" ht="18.75" customHeight="1" x14ac:dyDescent="0.25"/>
    <row r="598" ht="18.75" customHeight="1" x14ac:dyDescent="0.25"/>
    <row r="599" ht="18.75" customHeight="1" x14ac:dyDescent="0.25"/>
    <row r="600" ht="18.75" customHeight="1" x14ac:dyDescent="0.25"/>
    <row r="601" ht="18.75" customHeight="1" x14ac:dyDescent="0.25"/>
    <row r="602" ht="18.75" customHeight="1" x14ac:dyDescent="0.25"/>
    <row r="603" ht="18.75" customHeight="1" x14ac:dyDescent="0.25"/>
    <row r="604" ht="18.75" customHeight="1" x14ac:dyDescent="0.25"/>
    <row r="605" ht="18.75" customHeight="1" x14ac:dyDescent="0.25"/>
    <row r="606" ht="18.75" customHeight="1" x14ac:dyDescent="0.25"/>
    <row r="607" ht="18.75" customHeight="1" x14ac:dyDescent="0.25"/>
    <row r="608" ht="18.75" customHeight="1" x14ac:dyDescent="0.25"/>
    <row r="609" ht="18.75" customHeight="1" x14ac:dyDescent="0.25"/>
    <row r="610" ht="18.75" customHeight="1" x14ac:dyDescent="0.25"/>
    <row r="611" ht="18.75" customHeight="1" x14ac:dyDescent="0.25"/>
    <row r="612" ht="18.75" customHeight="1" x14ac:dyDescent="0.25"/>
    <row r="613" ht="18.75" customHeight="1" x14ac:dyDescent="0.25"/>
    <row r="614" ht="18.75" customHeight="1" x14ac:dyDescent="0.25"/>
    <row r="615" ht="18.75" customHeight="1" x14ac:dyDescent="0.25"/>
    <row r="616" ht="18.75" customHeight="1" x14ac:dyDescent="0.25"/>
    <row r="617" ht="18.75" customHeight="1" x14ac:dyDescent="0.25"/>
    <row r="618" ht="18.75" customHeight="1" x14ac:dyDescent="0.25"/>
    <row r="619" ht="18.75" customHeight="1" x14ac:dyDescent="0.25"/>
    <row r="620" ht="18.75" customHeight="1" x14ac:dyDescent="0.25"/>
    <row r="621" ht="18.75" customHeight="1" x14ac:dyDescent="0.25"/>
    <row r="622" ht="18.75" customHeight="1" x14ac:dyDescent="0.25"/>
    <row r="623" ht="18.75" customHeight="1" x14ac:dyDescent="0.25"/>
    <row r="624" ht="18.75" customHeight="1" x14ac:dyDescent="0.25"/>
    <row r="625" ht="18.75" customHeight="1" x14ac:dyDescent="0.25"/>
    <row r="626" ht="18.75" customHeight="1" x14ac:dyDescent="0.25"/>
    <row r="627" ht="18.75" customHeight="1" x14ac:dyDescent="0.25"/>
    <row r="628" ht="18.75" customHeight="1" x14ac:dyDescent="0.25"/>
    <row r="629" ht="18.75" customHeight="1" x14ac:dyDescent="0.25"/>
    <row r="630" ht="18.75" customHeight="1" x14ac:dyDescent="0.25"/>
    <row r="631" ht="18.75" customHeight="1" x14ac:dyDescent="0.25"/>
    <row r="632" ht="18.75" customHeight="1" x14ac:dyDescent="0.25"/>
    <row r="633" ht="18.75" customHeight="1" x14ac:dyDescent="0.25"/>
    <row r="634" ht="18.75" customHeight="1" x14ac:dyDescent="0.25"/>
    <row r="635" ht="18.75" customHeight="1" x14ac:dyDescent="0.25"/>
    <row r="636" ht="18.75" customHeight="1" x14ac:dyDescent="0.25"/>
    <row r="637" ht="18.75" customHeight="1" x14ac:dyDescent="0.25"/>
    <row r="638" ht="18.75" customHeight="1" x14ac:dyDescent="0.25"/>
    <row r="639" ht="18.75" customHeight="1" x14ac:dyDescent="0.25"/>
    <row r="640" ht="18.75" customHeight="1" x14ac:dyDescent="0.25"/>
    <row r="641" ht="18.75" customHeight="1" x14ac:dyDescent="0.25"/>
    <row r="642" ht="18.75" customHeight="1" x14ac:dyDescent="0.25"/>
    <row r="643" ht="18.75" customHeight="1" x14ac:dyDescent="0.25"/>
    <row r="644" ht="18.75" customHeight="1" x14ac:dyDescent="0.25"/>
    <row r="645" ht="18.75" customHeight="1" x14ac:dyDescent="0.25"/>
    <row r="646" ht="18.75" customHeight="1" x14ac:dyDescent="0.25"/>
    <row r="647" ht="18.75" customHeight="1" x14ac:dyDescent="0.25"/>
    <row r="648" ht="18.75" customHeight="1" x14ac:dyDescent="0.25"/>
    <row r="649" ht="18.75" customHeight="1" x14ac:dyDescent="0.25"/>
    <row r="650" ht="18.75" customHeight="1" x14ac:dyDescent="0.25"/>
    <row r="651" ht="18.75" customHeight="1" x14ac:dyDescent="0.25"/>
    <row r="652" ht="18.75" customHeight="1" x14ac:dyDescent="0.25"/>
    <row r="653" ht="18.75" customHeight="1" x14ac:dyDescent="0.25"/>
    <row r="654" ht="18.75" customHeight="1" x14ac:dyDescent="0.25"/>
    <row r="655" ht="18.75" customHeight="1" x14ac:dyDescent="0.25"/>
    <row r="656" ht="18.75" customHeight="1" x14ac:dyDescent="0.25"/>
    <row r="657" ht="18.75" customHeight="1" x14ac:dyDescent="0.25"/>
    <row r="658" ht="18.75" customHeight="1" x14ac:dyDescent="0.25"/>
    <row r="659" ht="18.75" customHeight="1" x14ac:dyDescent="0.25"/>
    <row r="660" ht="18.75" customHeight="1" x14ac:dyDescent="0.25"/>
    <row r="661" ht="18.75" customHeight="1" x14ac:dyDescent="0.25"/>
    <row r="662" ht="18.75" customHeight="1" x14ac:dyDescent="0.25"/>
    <row r="663" ht="18.75" customHeight="1" x14ac:dyDescent="0.25"/>
    <row r="664" ht="18.75" customHeight="1" x14ac:dyDescent="0.25"/>
    <row r="665" ht="18.75" customHeight="1" x14ac:dyDescent="0.25"/>
    <row r="666" ht="18.75" customHeight="1" x14ac:dyDescent="0.25"/>
    <row r="667" ht="18.75" customHeight="1" x14ac:dyDescent="0.25"/>
    <row r="668" ht="18.75" customHeight="1" x14ac:dyDescent="0.25"/>
    <row r="669" ht="18.75" customHeight="1" x14ac:dyDescent="0.25"/>
    <row r="670" ht="18.75" customHeight="1" x14ac:dyDescent="0.25"/>
    <row r="671" ht="18.75" customHeight="1" x14ac:dyDescent="0.25"/>
    <row r="672" ht="18.75" customHeight="1" x14ac:dyDescent="0.25"/>
    <row r="673" ht="18.75" customHeight="1" x14ac:dyDescent="0.25"/>
    <row r="674" ht="18.75" customHeight="1" x14ac:dyDescent="0.25"/>
    <row r="675" ht="18.75" customHeight="1" x14ac:dyDescent="0.25"/>
    <row r="676" ht="18.75" customHeight="1" x14ac:dyDescent="0.25"/>
    <row r="677" ht="18.75" customHeight="1" x14ac:dyDescent="0.25"/>
    <row r="678" ht="18.75" customHeight="1" x14ac:dyDescent="0.25"/>
    <row r="679" ht="18.75" customHeight="1" x14ac:dyDescent="0.25"/>
    <row r="680" ht="18.75" customHeight="1" x14ac:dyDescent="0.25"/>
    <row r="681" ht="18.75" customHeight="1" x14ac:dyDescent="0.25"/>
    <row r="682" ht="18.75" customHeight="1" x14ac:dyDescent="0.25"/>
    <row r="683" ht="18.75" customHeight="1" x14ac:dyDescent="0.25"/>
    <row r="684" ht="18.75" customHeight="1" x14ac:dyDescent="0.25"/>
    <row r="685" ht="18.75" customHeight="1" x14ac:dyDescent="0.25"/>
    <row r="686" ht="18.75" customHeight="1" x14ac:dyDescent="0.25"/>
    <row r="687" ht="18.75" customHeight="1" x14ac:dyDescent="0.25"/>
    <row r="688" ht="18.75" customHeight="1" x14ac:dyDescent="0.25"/>
    <row r="689" ht="18.75" customHeight="1" x14ac:dyDescent="0.25"/>
    <row r="690" ht="18.75" customHeight="1" x14ac:dyDescent="0.25"/>
    <row r="691" ht="18.75" customHeight="1" x14ac:dyDescent="0.25"/>
    <row r="692" ht="18.75" customHeight="1" x14ac:dyDescent="0.25"/>
    <row r="693" ht="18.75" customHeight="1" x14ac:dyDescent="0.25"/>
    <row r="694" ht="18.75" customHeight="1" x14ac:dyDescent="0.25"/>
    <row r="695" ht="18.75" customHeight="1" x14ac:dyDescent="0.25"/>
    <row r="696" ht="18.75" customHeight="1" x14ac:dyDescent="0.25"/>
    <row r="697" ht="18.75" customHeight="1" x14ac:dyDescent="0.25"/>
    <row r="698" ht="18.75" customHeight="1" x14ac:dyDescent="0.25"/>
    <row r="699" ht="18.75" customHeight="1" x14ac:dyDescent="0.25"/>
    <row r="700" ht="18.75" customHeight="1" x14ac:dyDescent="0.25"/>
    <row r="701" ht="18.75" customHeight="1" x14ac:dyDescent="0.25"/>
    <row r="702" ht="18.75" customHeight="1" x14ac:dyDescent="0.25"/>
    <row r="703" ht="18.75" customHeight="1" x14ac:dyDescent="0.25"/>
    <row r="704" ht="18.75" customHeight="1" x14ac:dyDescent="0.25"/>
    <row r="705" ht="18.75" customHeight="1" x14ac:dyDescent="0.25"/>
    <row r="706" ht="18.75" customHeight="1" x14ac:dyDescent="0.25"/>
    <row r="707" ht="18.75" customHeight="1" x14ac:dyDescent="0.25"/>
    <row r="708" ht="18.75" customHeight="1" x14ac:dyDescent="0.25"/>
    <row r="709" ht="18.75" customHeight="1" x14ac:dyDescent="0.25"/>
    <row r="710" ht="18.75" customHeight="1" x14ac:dyDescent="0.25"/>
    <row r="711" ht="18.75" customHeight="1" x14ac:dyDescent="0.25"/>
    <row r="712" ht="18.75" customHeight="1" x14ac:dyDescent="0.25"/>
    <row r="713" ht="18.75" customHeight="1" x14ac:dyDescent="0.25"/>
    <row r="714" ht="18.75" customHeight="1" x14ac:dyDescent="0.25"/>
    <row r="715" ht="18.75" customHeight="1" x14ac:dyDescent="0.25"/>
    <row r="716" ht="18.75" customHeight="1" x14ac:dyDescent="0.25"/>
    <row r="717" ht="18.75" customHeight="1" x14ac:dyDescent="0.25"/>
    <row r="718" ht="18.75" customHeight="1" x14ac:dyDescent="0.25"/>
    <row r="719" ht="18.75" customHeight="1" x14ac:dyDescent="0.25"/>
    <row r="720" ht="18.75" customHeight="1" x14ac:dyDescent="0.25"/>
    <row r="721" ht="18.75" customHeight="1" x14ac:dyDescent="0.25"/>
    <row r="722" ht="18.75" customHeight="1" x14ac:dyDescent="0.25"/>
    <row r="723" ht="18.75" customHeight="1" x14ac:dyDescent="0.25"/>
    <row r="724" ht="18.75" customHeight="1" x14ac:dyDescent="0.25"/>
    <row r="725" ht="18.75" customHeight="1" x14ac:dyDescent="0.25"/>
    <row r="726" ht="18.75" customHeight="1" x14ac:dyDescent="0.25"/>
    <row r="727" ht="18.75" customHeight="1" x14ac:dyDescent="0.25"/>
    <row r="728" ht="18.75" customHeight="1" x14ac:dyDescent="0.25"/>
    <row r="729" ht="18.75" customHeight="1" x14ac:dyDescent="0.25"/>
    <row r="730" ht="18.75" customHeight="1" x14ac:dyDescent="0.25"/>
    <row r="731" ht="18.75" customHeight="1" x14ac:dyDescent="0.25"/>
    <row r="732" ht="18.75" customHeight="1" x14ac:dyDescent="0.25"/>
    <row r="733" ht="18.75" customHeight="1" x14ac:dyDescent="0.25"/>
    <row r="734" ht="18.75" customHeight="1" x14ac:dyDescent="0.25"/>
    <row r="735" ht="18.75" customHeight="1" x14ac:dyDescent="0.25"/>
    <row r="736" ht="18.75" customHeight="1" x14ac:dyDescent="0.25"/>
    <row r="737" ht="18.75" customHeight="1" x14ac:dyDescent="0.25"/>
    <row r="738" ht="18.75" customHeight="1" x14ac:dyDescent="0.25"/>
    <row r="739" ht="18.75" customHeight="1" x14ac:dyDescent="0.25"/>
    <row r="740" ht="18.75" customHeight="1" x14ac:dyDescent="0.25"/>
    <row r="741" ht="18.75" customHeight="1" x14ac:dyDescent="0.25"/>
    <row r="742" ht="18.75" customHeight="1" x14ac:dyDescent="0.25"/>
    <row r="743" ht="18.75" customHeight="1" x14ac:dyDescent="0.25"/>
    <row r="744" ht="18.75" customHeight="1" x14ac:dyDescent="0.25"/>
    <row r="745" ht="18.75" customHeight="1" x14ac:dyDescent="0.25"/>
    <row r="746" ht="18.75" customHeight="1" x14ac:dyDescent="0.25"/>
    <row r="747" ht="18.75" customHeight="1" x14ac:dyDescent="0.25"/>
    <row r="748" ht="18.75" customHeight="1" x14ac:dyDescent="0.25"/>
    <row r="749" ht="18.75" customHeight="1" x14ac:dyDescent="0.25"/>
    <row r="750" ht="18.75" customHeight="1" x14ac:dyDescent="0.25"/>
    <row r="751" ht="18.75" customHeight="1" x14ac:dyDescent="0.25"/>
    <row r="752" ht="18.75" customHeight="1" x14ac:dyDescent="0.25"/>
    <row r="753" ht="18.75" customHeight="1" x14ac:dyDescent="0.25"/>
    <row r="754" ht="18.75" customHeight="1" x14ac:dyDescent="0.25"/>
    <row r="755" ht="18.75" customHeight="1" x14ac:dyDescent="0.25"/>
    <row r="756" ht="18.75" customHeight="1" x14ac:dyDescent="0.25"/>
    <row r="757" ht="18.75" customHeight="1" x14ac:dyDescent="0.25"/>
    <row r="758" ht="18.75" customHeight="1" x14ac:dyDescent="0.25"/>
    <row r="759" ht="18.75" customHeight="1" x14ac:dyDescent="0.25"/>
    <row r="760" ht="18.75" customHeight="1" x14ac:dyDescent="0.25"/>
    <row r="761" ht="18.75" customHeight="1" x14ac:dyDescent="0.25"/>
    <row r="762" ht="18.75" customHeight="1" x14ac:dyDescent="0.25"/>
    <row r="763" ht="18.75" customHeight="1" x14ac:dyDescent="0.25"/>
    <row r="764" ht="18.75" customHeight="1" x14ac:dyDescent="0.25"/>
    <row r="765" ht="18.75" customHeight="1" x14ac:dyDescent="0.25"/>
    <row r="766" ht="18.75" customHeight="1" x14ac:dyDescent="0.25"/>
    <row r="767" ht="18.75" customHeight="1" x14ac:dyDescent="0.25"/>
    <row r="768" ht="18.75" customHeight="1" x14ac:dyDescent="0.25"/>
    <row r="769" ht="18.75" customHeight="1" x14ac:dyDescent="0.25"/>
    <row r="770" ht="18.75" customHeight="1" x14ac:dyDescent="0.25"/>
    <row r="771" ht="18.75" customHeight="1" x14ac:dyDescent="0.25"/>
    <row r="772" ht="18.75" customHeight="1" x14ac:dyDescent="0.25"/>
    <row r="773" ht="18.75" customHeight="1" x14ac:dyDescent="0.25"/>
    <row r="774" ht="18.75" customHeight="1" x14ac:dyDescent="0.25"/>
    <row r="775" ht="18.75" customHeight="1" x14ac:dyDescent="0.25"/>
    <row r="776" ht="18.75" customHeight="1" x14ac:dyDescent="0.25"/>
    <row r="777" ht="18.75" customHeight="1" x14ac:dyDescent="0.25"/>
    <row r="778" ht="18.75" customHeight="1" x14ac:dyDescent="0.25"/>
    <row r="779" ht="18.75" customHeight="1" x14ac:dyDescent="0.25"/>
    <row r="780" ht="18.75" customHeight="1" x14ac:dyDescent="0.25"/>
    <row r="781" ht="18.75" customHeight="1" x14ac:dyDescent="0.25"/>
    <row r="782" ht="18.75" customHeight="1" x14ac:dyDescent="0.25"/>
    <row r="783" ht="18.75" customHeight="1" x14ac:dyDescent="0.25"/>
    <row r="784" ht="18.75" customHeight="1" x14ac:dyDescent="0.25"/>
    <row r="785" ht="18.75" customHeight="1" x14ac:dyDescent="0.25"/>
    <row r="786" ht="18.75" customHeight="1" x14ac:dyDescent="0.25"/>
    <row r="787" ht="18.75" customHeight="1" x14ac:dyDescent="0.25"/>
    <row r="788" ht="18.75" customHeight="1" x14ac:dyDescent="0.25"/>
    <row r="789" ht="18.75" customHeight="1" x14ac:dyDescent="0.25"/>
    <row r="790" ht="18.75" customHeight="1" x14ac:dyDescent="0.25"/>
    <row r="791" ht="18.75" customHeight="1" x14ac:dyDescent="0.25"/>
    <row r="792" ht="18.75" customHeight="1" x14ac:dyDescent="0.25"/>
    <row r="793" ht="18.75" customHeight="1" x14ac:dyDescent="0.25"/>
    <row r="794" ht="18.75" customHeight="1" x14ac:dyDescent="0.25"/>
    <row r="795" ht="18.75" customHeight="1" x14ac:dyDescent="0.25"/>
    <row r="796" ht="18.75" customHeight="1" x14ac:dyDescent="0.25"/>
    <row r="797" ht="18.75" customHeight="1" x14ac:dyDescent="0.25"/>
    <row r="798" ht="18.75" customHeight="1" x14ac:dyDescent="0.25"/>
    <row r="799" ht="18.75" customHeight="1" x14ac:dyDescent="0.25"/>
    <row r="800" ht="18.75" customHeight="1" x14ac:dyDescent="0.25"/>
    <row r="801" ht="18.75" customHeight="1" x14ac:dyDescent="0.25"/>
    <row r="802" ht="18.75" customHeight="1" x14ac:dyDescent="0.25"/>
    <row r="803" ht="18.75" customHeight="1" x14ac:dyDescent="0.25"/>
    <row r="804" ht="18.75" customHeight="1" x14ac:dyDescent="0.25"/>
    <row r="805" ht="18.75" customHeight="1" x14ac:dyDescent="0.25"/>
    <row r="806" ht="18.75" customHeight="1" x14ac:dyDescent="0.25"/>
    <row r="807" ht="18.75" customHeight="1" x14ac:dyDescent="0.25"/>
    <row r="808" ht="18.75" customHeight="1" x14ac:dyDescent="0.25"/>
    <row r="809" ht="18.75" customHeight="1" x14ac:dyDescent="0.25"/>
    <row r="810" ht="18.75" customHeight="1" x14ac:dyDescent="0.25"/>
    <row r="811" ht="18.75" customHeight="1" x14ac:dyDescent="0.25"/>
    <row r="812" ht="18.75" customHeight="1" x14ac:dyDescent="0.25"/>
    <row r="813" ht="18.75" customHeight="1" x14ac:dyDescent="0.25"/>
    <row r="814" ht="18.75" customHeight="1" x14ac:dyDescent="0.25"/>
    <row r="815" ht="18.75" customHeight="1" x14ac:dyDescent="0.25"/>
    <row r="816" ht="18.75" customHeight="1" x14ac:dyDescent="0.25"/>
    <row r="817" ht="18.75" customHeight="1" x14ac:dyDescent="0.25"/>
    <row r="818" ht="18.75" customHeight="1" x14ac:dyDescent="0.25"/>
    <row r="819" ht="18.75" customHeight="1" x14ac:dyDescent="0.25"/>
    <row r="820" ht="18.75" customHeight="1" x14ac:dyDescent="0.25"/>
    <row r="821" ht="18.75" customHeight="1" x14ac:dyDescent="0.25"/>
    <row r="822" ht="18.75" customHeight="1" x14ac:dyDescent="0.25"/>
    <row r="823" ht="18.75" customHeight="1" x14ac:dyDescent="0.25"/>
    <row r="824" ht="18.75" customHeight="1" x14ac:dyDescent="0.25"/>
    <row r="825" ht="18.75" customHeight="1" x14ac:dyDescent="0.25"/>
    <row r="826" ht="18.75" customHeight="1" x14ac:dyDescent="0.25"/>
    <row r="827" ht="18.75" customHeight="1" x14ac:dyDescent="0.25"/>
    <row r="828" ht="18.75" customHeight="1" x14ac:dyDescent="0.25"/>
    <row r="829" ht="18.75" customHeight="1" x14ac:dyDescent="0.25"/>
    <row r="830" ht="18.75" customHeight="1" x14ac:dyDescent="0.25"/>
    <row r="831" ht="18.75" customHeight="1" x14ac:dyDescent="0.25"/>
    <row r="832" ht="18.75" customHeight="1" x14ac:dyDescent="0.25"/>
    <row r="833" ht="18.75" customHeight="1" x14ac:dyDescent="0.25"/>
    <row r="834" ht="18.75" customHeight="1" x14ac:dyDescent="0.25"/>
    <row r="835" ht="18.75" customHeight="1" x14ac:dyDescent="0.25"/>
    <row r="836" ht="18.75" customHeight="1" x14ac:dyDescent="0.25"/>
    <row r="837" ht="18.75" customHeight="1" x14ac:dyDescent="0.25"/>
    <row r="838" ht="18.75" customHeight="1" x14ac:dyDescent="0.25"/>
    <row r="839" ht="18.75" customHeight="1" x14ac:dyDescent="0.25"/>
    <row r="840" ht="18.75" customHeight="1" x14ac:dyDescent="0.25"/>
    <row r="841" ht="18.75" customHeight="1" x14ac:dyDescent="0.25"/>
    <row r="842" ht="18.75" customHeight="1" x14ac:dyDescent="0.25"/>
    <row r="843" ht="18.75" customHeight="1" x14ac:dyDescent="0.25"/>
    <row r="844" ht="18.75" customHeight="1" x14ac:dyDescent="0.25"/>
    <row r="845" ht="18.75" customHeight="1" x14ac:dyDescent="0.25"/>
    <row r="846" ht="18.75" customHeight="1" x14ac:dyDescent="0.25"/>
    <row r="847" ht="18.75" customHeight="1" x14ac:dyDescent="0.25"/>
    <row r="848" ht="18.75" customHeight="1" x14ac:dyDescent="0.25"/>
    <row r="849" ht="18.75" customHeight="1" x14ac:dyDescent="0.25"/>
    <row r="850" ht="18.75" customHeight="1" x14ac:dyDescent="0.25"/>
    <row r="851" ht="18.75" customHeight="1" x14ac:dyDescent="0.25"/>
    <row r="852" ht="18.75" customHeight="1" x14ac:dyDescent="0.25"/>
    <row r="853" ht="18.75" customHeight="1" x14ac:dyDescent="0.25"/>
    <row r="854" ht="18.75" customHeight="1" x14ac:dyDescent="0.25"/>
    <row r="855" ht="18.75" customHeight="1" x14ac:dyDescent="0.25"/>
    <row r="856" ht="18.75" customHeight="1" x14ac:dyDescent="0.25"/>
    <row r="857" ht="18.75" customHeight="1" x14ac:dyDescent="0.25"/>
    <row r="858" ht="18.75" customHeight="1" x14ac:dyDescent="0.25"/>
    <row r="859" ht="18.75" customHeight="1" x14ac:dyDescent="0.25"/>
    <row r="860" ht="18.75" customHeight="1" x14ac:dyDescent="0.25"/>
    <row r="861" ht="18.75" customHeight="1" x14ac:dyDescent="0.25"/>
    <row r="862" ht="18.75" customHeight="1" x14ac:dyDescent="0.25"/>
    <row r="863" ht="18.75" customHeight="1" x14ac:dyDescent="0.25"/>
    <row r="864" ht="18.75" customHeight="1" x14ac:dyDescent="0.25"/>
    <row r="865" ht="18.75" customHeight="1" x14ac:dyDescent="0.25"/>
    <row r="866" ht="18.75" customHeight="1" x14ac:dyDescent="0.25"/>
    <row r="867" ht="18.75" customHeight="1" x14ac:dyDescent="0.25"/>
    <row r="868" ht="18.75" customHeight="1" x14ac:dyDescent="0.25"/>
    <row r="869" ht="18.75" customHeight="1" x14ac:dyDescent="0.25"/>
    <row r="870" ht="18.75" customHeight="1" x14ac:dyDescent="0.25"/>
    <row r="871" ht="18.75" customHeight="1" x14ac:dyDescent="0.25"/>
    <row r="872" ht="18.75" customHeight="1" x14ac:dyDescent="0.25"/>
    <row r="873" ht="18.75" customHeight="1" x14ac:dyDescent="0.25"/>
    <row r="874" ht="18.75" customHeight="1" x14ac:dyDescent="0.25"/>
    <row r="875" ht="18.75" customHeight="1" x14ac:dyDescent="0.25"/>
    <row r="876" ht="18.75" customHeight="1" x14ac:dyDescent="0.25"/>
    <row r="877" ht="18.75" customHeight="1" x14ac:dyDescent="0.25"/>
    <row r="878" ht="18.75" customHeight="1" x14ac:dyDescent="0.25"/>
    <row r="879" ht="18.75" customHeight="1" x14ac:dyDescent="0.25"/>
    <row r="880" ht="18.75" customHeight="1" x14ac:dyDescent="0.25"/>
    <row r="881" ht="18.75" customHeight="1" x14ac:dyDescent="0.25"/>
    <row r="882" ht="18.75" customHeight="1" x14ac:dyDescent="0.25"/>
    <row r="883" ht="18.75" customHeight="1" x14ac:dyDescent="0.25"/>
    <row r="884" ht="18.75" customHeight="1" x14ac:dyDescent="0.25"/>
    <row r="885" ht="18.75" customHeight="1" x14ac:dyDescent="0.25"/>
    <row r="886" ht="18.75" customHeight="1" x14ac:dyDescent="0.25"/>
    <row r="887" ht="18.75" customHeight="1" x14ac:dyDescent="0.25"/>
    <row r="888" ht="18.75" customHeight="1" x14ac:dyDescent="0.25"/>
    <row r="889" ht="18.75" customHeight="1" x14ac:dyDescent="0.25"/>
    <row r="890" ht="18.75" customHeight="1" x14ac:dyDescent="0.25"/>
    <row r="891" ht="18.75" customHeight="1" x14ac:dyDescent="0.25"/>
    <row r="892" ht="18.75" customHeight="1" x14ac:dyDescent="0.25"/>
    <row r="893" ht="18.75" customHeight="1" x14ac:dyDescent="0.25"/>
    <row r="894" ht="18.75" customHeight="1" x14ac:dyDescent="0.25"/>
    <row r="895" ht="18.75" customHeight="1" x14ac:dyDescent="0.25"/>
    <row r="896" ht="18.75" customHeight="1" x14ac:dyDescent="0.25"/>
    <row r="897" ht="18.75" customHeight="1" x14ac:dyDescent="0.25"/>
    <row r="898" ht="18.75" customHeight="1" x14ac:dyDescent="0.25"/>
    <row r="899" ht="18.75" customHeight="1" x14ac:dyDescent="0.25"/>
    <row r="900" ht="18.75" customHeight="1" x14ac:dyDescent="0.25"/>
    <row r="901" ht="18.75" customHeight="1" x14ac:dyDescent="0.25"/>
    <row r="902" ht="18.75" customHeight="1" x14ac:dyDescent="0.25"/>
    <row r="903" ht="18.75" customHeight="1" x14ac:dyDescent="0.25"/>
    <row r="904" ht="18.75" customHeight="1" x14ac:dyDescent="0.25"/>
    <row r="905" ht="18.75" customHeight="1" x14ac:dyDescent="0.25"/>
    <row r="906" ht="18.75" customHeight="1" x14ac:dyDescent="0.25"/>
    <row r="907" ht="18.75" customHeight="1" x14ac:dyDescent="0.25"/>
    <row r="908" ht="18.75" customHeight="1" x14ac:dyDescent="0.25"/>
    <row r="909" ht="18.75" customHeight="1" x14ac:dyDescent="0.25"/>
    <row r="910" ht="18.75" customHeight="1" x14ac:dyDescent="0.25"/>
    <row r="911" ht="18.75" customHeight="1" x14ac:dyDescent="0.25"/>
    <row r="912" ht="18.75" customHeight="1" x14ac:dyDescent="0.25"/>
    <row r="913" ht="18.75" customHeight="1" x14ac:dyDescent="0.25"/>
    <row r="914" ht="18.75" customHeight="1" x14ac:dyDescent="0.25"/>
    <row r="915" ht="18.75" customHeight="1" x14ac:dyDescent="0.25"/>
    <row r="916" ht="18.75" customHeight="1" x14ac:dyDescent="0.25"/>
    <row r="917" ht="18.75" customHeight="1" x14ac:dyDescent="0.25"/>
    <row r="918" ht="18.75" customHeight="1" x14ac:dyDescent="0.25"/>
    <row r="919" ht="18.75" customHeight="1" x14ac:dyDescent="0.25"/>
    <row r="920" ht="18.75" customHeight="1" x14ac:dyDescent="0.25"/>
    <row r="921" ht="18.75" customHeight="1" x14ac:dyDescent="0.25"/>
    <row r="922" ht="18.75" customHeight="1" x14ac:dyDescent="0.25"/>
    <row r="923" ht="18.75" customHeight="1" x14ac:dyDescent="0.25"/>
    <row r="924" ht="18.75" customHeight="1" x14ac:dyDescent="0.25"/>
    <row r="925" ht="18.75" customHeight="1" x14ac:dyDescent="0.25"/>
    <row r="926" ht="18.75" customHeight="1" x14ac:dyDescent="0.25"/>
    <row r="927" ht="18.75" customHeight="1" x14ac:dyDescent="0.25"/>
    <row r="928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55" ht="18.75" customHeight="1" x14ac:dyDescent="0.25"/>
    <row r="956" ht="18.75" customHeight="1" x14ac:dyDescent="0.25"/>
    <row r="957" ht="18.75" customHeight="1" x14ac:dyDescent="0.25"/>
    <row r="958" ht="18.75" customHeight="1" x14ac:dyDescent="0.25"/>
    <row r="959" ht="18.75" customHeight="1" x14ac:dyDescent="0.25"/>
    <row r="960" ht="18.75" customHeight="1" x14ac:dyDescent="0.25"/>
    <row r="961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88" ht="18.75" customHeight="1" x14ac:dyDescent="0.25"/>
    <row r="989" ht="18.75" customHeight="1" x14ac:dyDescent="0.25"/>
    <row r="990" ht="18.75" customHeight="1" x14ac:dyDescent="0.25"/>
    <row r="991" ht="18.75" customHeight="1" x14ac:dyDescent="0.25"/>
    <row r="992" ht="18.75" customHeight="1" x14ac:dyDescent="0.25"/>
    <row r="993" ht="18.75" customHeight="1" x14ac:dyDescent="0.25"/>
    <row r="994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</sheetData>
  <mergeCells count="6">
    <mergeCell ref="A36:A40"/>
    <mergeCell ref="D5:V5"/>
    <mergeCell ref="B6:B9"/>
    <mergeCell ref="D12:K12"/>
    <mergeCell ref="B14:B23"/>
    <mergeCell ref="A30:A34"/>
  </mergeCells>
  <phoneticPr fontId="6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0"/>
  <sheetViews>
    <sheetView tabSelected="1" zoomScaleNormal="100" workbookViewId="0">
      <selection activeCell="P13" sqref="P13"/>
    </sheetView>
  </sheetViews>
  <sheetFormatPr defaultColWidth="14.42578125" defaultRowHeight="15" customHeight="1" x14ac:dyDescent="0.25"/>
  <cols>
    <col min="2" max="2" width="25.42578125" bestFit="1" customWidth="1"/>
  </cols>
  <sheetData>
    <row r="1" spans="1:27" x14ac:dyDescent="0.25">
      <c r="A1" s="67"/>
      <c r="B1" s="67">
        <v>0.67</v>
      </c>
      <c r="C1" s="67">
        <v>0.13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spans="1:27" x14ac:dyDescent="0.25">
      <c r="A2" s="67"/>
      <c r="B2" s="67" t="s">
        <v>17</v>
      </c>
      <c r="C2" s="67">
        <v>0</v>
      </c>
      <c r="D2" s="67">
        <v>0.5</v>
      </c>
      <c r="E2" s="67">
        <v>1</v>
      </c>
      <c r="F2" s="67">
        <v>1.5</v>
      </c>
      <c r="G2" s="67">
        <v>2</v>
      </c>
      <c r="H2" s="67">
        <v>2.5</v>
      </c>
      <c r="I2" s="67">
        <v>3</v>
      </c>
      <c r="J2" s="67">
        <v>3.5</v>
      </c>
      <c r="K2" s="67">
        <v>4</v>
      </c>
      <c r="L2" s="67">
        <v>4.5</v>
      </c>
      <c r="M2" s="67">
        <v>5</v>
      </c>
      <c r="N2" s="67">
        <v>5.5</v>
      </c>
      <c r="O2" s="67">
        <v>6</v>
      </c>
      <c r="P2" s="67">
        <v>6.5</v>
      </c>
      <c r="Q2" s="67">
        <v>7</v>
      </c>
      <c r="R2" s="67">
        <v>7.5</v>
      </c>
      <c r="S2" s="67"/>
      <c r="T2" s="67"/>
      <c r="U2" s="67"/>
      <c r="V2" s="67"/>
      <c r="W2" s="67"/>
      <c r="X2" s="67"/>
      <c r="Y2" s="67"/>
      <c r="Z2" s="67"/>
      <c r="AA2" s="67"/>
    </row>
    <row r="3" spans="1:27" ht="15.75" thickBot="1" x14ac:dyDescent="0.3">
      <c r="B3" s="67" t="s">
        <v>8</v>
      </c>
      <c r="C3" s="67">
        <v>12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</row>
    <row r="4" spans="1:27" ht="15.75" thickBot="1" x14ac:dyDescent="0.3">
      <c r="B4" s="67" t="s">
        <v>9</v>
      </c>
      <c r="C4" s="82">
        <v>0</v>
      </c>
      <c r="D4" s="82">
        <v>0.63439999999999996</v>
      </c>
      <c r="E4" s="82">
        <v>1.2830999999999999</v>
      </c>
      <c r="F4" s="82">
        <v>1.9421999999999999</v>
      </c>
      <c r="G4" s="82">
        <v>2.61</v>
      </c>
      <c r="H4" s="82">
        <v>3.2968000000000002</v>
      </c>
      <c r="I4" s="82">
        <v>3.9975000000000001</v>
      </c>
      <c r="J4" s="82">
        <v>4.7229000000000001</v>
      </c>
      <c r="K4" s="82">
        <v>5.4561000000000002</v>
      </c>
      <c r="L4" s="82">
        <v>6.2153000000000009</v>
      </c>
      <c r="M4" s="82">
        <v>7.0005000000000006</v>
      </c>
      <c r="N4" s="82">
        <v>7.8104000000000005</v>
      </c>
      <c r="O4" s="82">
        <v>8.6476000000000006</v>
      </c>
      <c r="P4" s="82">
        <v>9.535499999999999</v>
      </c>
      <c r="Q4" s="80">
        <v>10.383100000000001</v>
      </c>
      <c r="R4" s="67"/>
    </row>
    <row r="5" spans="1:27" ht="15.75" thickBot="1" x14ac:dyDescent="0.3">
      <c r="B5" s="67" t="s">
        <v>13</v>
      </c>
      <c r="C5" s="82">
        <v>15.78</v>
      </c>
      <c r="D5" s="82">
        <v>14.98</v>
      </c>
      <c r="E5" s="82">
        <v>14.85</v>
      </c>
      <c r="F5" s="82">
        <v>14.83</v>
      </c>
      <c r="G5" s="82">
        <v>14.8</v>
      </c>
      <c r="H5" s="82">
        <v>14.8</v>
      </c>
      <c r="I5" s="82">
        <v>14.79</v>
      </c>
      <c r="J5" s="82">
        <v>14.78</v>
      </c>
      <c r="K5" s="82">
        <v>14.77</v>
      </c>
      <c r="L5" s="82">
        <v>14.76</v>
      </c>
      <c r="M5" s="82">
        <v>14.75</v>
      </c>
      <c r="N5" s="82">
        <v>14.74</v>
      </c>
      <c r="O5" s="82">
        <v>14.73</v>
      </c>
      <c r="P5" s="82">
        <v>14.72</v>
      </c>
      <c r="Q5" s="67">
        <v>14.76</v>
      </c>
      <c r="R5" s="67"/>
    </row>
    <row r="6" spans="1:27" ht="15.75" thickBot="1" x14ac:dyDescent="0.3">
      <c r="B6" s="67" t="s">
        <v>18</v>
      </c>
      <c r="C6" s="82">
        <v>0</v>
      </c>
      <c r="D6" s="82">
        <v>0.47</v>
      </c>
      <c r="E6" s="82">
        <v>0.96</v>
      </c>
      <c r="F6" s="82">
        <v>1.46</v>
      </c>
      <c r="G6" s="82">
        <v>1.95</v>
      </c>
      <c r="H6" s="82">
        <v>2.4500000000000002</v>
      </c>
      <c r="I6" s="82">
        <v>2.94</v>
      </c>
      <c r="J6" s="82">
        <v>3.44</v>
      </c>
      <c r="K6" s="82">
        <v>3.93</v>
      </c>
      <c r="L6" s="82">
        <v>4.43</v>
      </c>
      <c r="M6" s="82">
        <v>4.92</v>
      </c>
      <c r="N6" s="82">
        <v>5.41</v>
      </c>
      <c r="O6" s="82">
        <v>5.91</v>
      </c>
      <c r="P6" s="82">
        <v>6.41</v>
      </c>
      <c r="Q6" s="80">
        <v>6.9010000000000007</v>
      </c>
      <c r="R6" s="67"/>
    </row>
    <row r="7" spans="1:27" x14ac:dyDescent="0.25">
      <c r="B7" s="67" t="s">
        <v>19</v>
      </c>
      <c r="C7" s="67"/>
      <c r="D7" s="81">
        <f>(D5*D6)/($C$3*D4)</f>
        <v>0.92483711643547706</v>
      </c>
      <c r="E7" s="81">
        <f t="shared" ref="E7:Q7" si="0">(E5*E6)/($C$3*E4)</f>
        <v>0.92588262801028764</v>
      </c>
      <c r="F7" s="81">
        <f t="shared" si="0"/>
        <v>0.92900662478975726</v>
      </c>
      <c r="G7" s="81">
        <f t="shared" si="0"/>
        <v>0.92145593869731801</v>
      </c>
      <c r="H7" s="81">
        <f t="shared" si="0"/>
        <v>0.91654533689234019</v>
      </c>
      <c r="I7" s="81">
        <f t="shared" si="0"/>
        <v>0.90645403377110689</v>
      </c>
      <c r="J7" s="81">
        <f t="shared" si="0"/>
        <v>0.89710418034117445</v>
      </c>
      <c r="K7" s="81">
        <f t="shared" si="0"/>
        <v>0.88656274628397569</v>
      </c>
      <c r="L7" s="81">
        <f t="shared" si="0"/>
        <v>0.8766913906006143</v>
      </c>
      <c r="M7" s="81">
        <f t="shared" si="0"/>
        <v>0.86386686665238188</v>
      </c>
      <c r="N7" s="81">
        <f t="shared" si="0"/>
        <v>0.85082496841817756</v>
      </c>
      <c r="O7" s="81">
        <f t="shared" si="0"/>
        <v>0.83890617049817284</v>
      </c>
      <c r="P7" s="81">
        <f t="shared" si="0"/>
        <v>0.82459580864488857</v>
      </c>
      <c r="Q7" s="81">
        <f t="shared" si="0"/>
        <v>0.81750440619853404</v>
      </c>
      <c r="R7" s="67"/>
    </row>
    <row r="8" spans="1:27" x14ac:dyDescent="0.25"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</row>
    <row r="9" spans="1:27" x14ac:dyDescent="0.25">
      <c r="B9" s="67" t="s">
        <v>17</v>
      </c>
      <c r="C9" s="67">
        <v>0</v>
      </c>
      <c r="D9" s="67">
        <v>0.5</v>
      </c>
      <c r="E9" s="67">
        <v>1</v>
      </c>
      <c r="F9" s="67">
        <v>1.5</v>
      </c>
      <c r="G9" s="67">
        <v>2</v>
      </c>
      <c r="H9" s="67">
        <v>2.5</v>
      </c>
      <c r="I9" s="67">
        <v>3</v>
      </c>
      <c r="J9" s="67">
        <v>3.5</v>
      </c>
      <c r="K9" s="67">
        <v>4</v>
      </c>
      <c r="L9" s="67">
        <v>4.2</v>
      </c>
      <c r="M9" s="67"/>
      <c r="N9" s="67"/>
      <c r="O9" s="67"/>
      <c r="P9" s="67"/>
      <c r="Q9" s="67"/>
      <c r="R9" s="67"/>
    </row>
    <row r="10" spans="1:27" ht="15.75" thickBot="1" x14ac:dyDescent="0.3">
      <c r="B10" s="67" t="s">
        <v>8</v>
      </c>
      <c r="C10" s="67">
        <v>12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</row>
    <row r="11" spans="1:27" ht="15.75" thickBot="1" x14ac:dyDescent="0.3">
      <c r="B11" s="67" t="s">
        <v>9</v>
      </c>
      <c r="C11" s="82">
        <v>0</v>
      </c>
      <c r="D11" s="82">
        <v>1.4313</v>
      </c>
      <c r="E11" s="82">
        <v>2.0903999999999998</v>
      </c>
      <c r="F11" s="82">
        <v>3.1837</v>
      </c>
      <c r="G11" s="82">
        <v>4.3056000000000001</v>
      </c>
      <c r="H11" s="82">
        <v>5.4794999999999998</v>
      </c>
      <c r="I11" s="82">
        <v>6.7418000000000005</v>
      </c>
      <c r="J11" s="82">
        <v>7.9976000000000003</v>
      </c>
      <c r="K11" s="82">
        <v>9.3729999999999993</v>
      </c>
      <c r="L11" s="82">
        <v>9.9554000000000009</v>
      </c>
      <c r="M11" s="67"/>
      <c r="N11" s="67"/>
      <c r="O11" s="67"/>
      <c r="P11" s="67"/>
      <c r="Q11" s="67"/>
      <c r="R11" s="67"/>
    </row>
    <row r="12" spans="1:27" ht="15.75" thickBot="1" x14ac:dyDescent="0.3">
      <c r="B12" s="67" t="s">
        <v>13</v>
      </c>
      <c r="C12" s="82">
        <v>25.27</v>
      </c>
      <c r="D12" s="82">
        <v>23.8</v>
      </c>
      <c r="E12" s="82">
        <v>24</v>
      </c>
      <c r="F12" s="82">
        <v>24.01</v>
      </c>
      <c r="G12" s="82">
        <v>24.02</v>
      </c>
      <c r="H12" s="82">
        <v>24.01</v>
      </c>
      <c r="I12" s="82">
        <v>24.02</v>
      </c>
      <c r="J12" s="82">
        <v>24.01</v>
      </c>
      <c r="K12" s="82">
        <v>24.01</v>
      </c>
      <c r="L12" s="82">
        <v>24</v>
      </c>
      <c r="M12" s="67"/>
      <c r="N12" s="67"/>
      <c r="O12" s="67"/>
      <c r="P12" s="67"/>
      <c r="Q12" s="67"/>
      <c r="R12" s="67"/>
    </row>
    <row r="13" spans="1:27" ht="15.75" thickBot="1" x14ac:dyDescent="0.3">
      <c r="B13" s="67" t="s">
        <v>18</v>
      </c>
      <c r="C13" s="82">
        <v>0</v>
      </c>
      <c r="D13" s="82">
        <v>0.47</v>
      </c>
      <c r="E13" s="82">
        <v>0.96</v>
      </c>
      <c r="F13" s="82">
        <v>1.46</v>
      </c>
      <c r="G13" s="82">
        <v>1.95</v>
      </c>
      <c r="H13" s="82">
        <v>2.4500000000000002</v>
      </c>
      <c r="I13" s="82">
        <v>2.94</v>
      </c>
      <c r="J13" s="82">
        <v>3.44</v>
      </c>
      <c r="K13" s="82">
        <v>3.93</v>
      </c>
      <c r="L13" s="82">
        <v>4.43</v>
      </c>
      <c r="M13" s="67"/>
      <c r="N13" s="67"/>
      <c r="O13" s="67"/>
      <c r="P13" s="67"/>
      <c r="Q13" s="67"/>
      <c r="R13" s="67"/>
    </row>
    <row r="14" spans="1:27" x14ac:dyDescent="0.25">
      <c r="B14" s="67" t="s">
        <v>19</v>
      </c>
      <c r="C14" s="67"/>
      <c r="D14" s="81">
        <f>(D12*D13)/($C$3*D11)</f>
        <v>0.65127273574140065</v>
      </c>
      <c r="E14" s="81">
        <f>(E12*E13)/($C$3*E11)</f>
        <v>0.91848450057405284</v>
      </c>
      <c r="F14" s="81">
        <f t="shared" ref="E14:L14" si="1">(F12*F13)/($C$3*F11)</f>
        <v>0.91755399901582024</v>
      </c>
      <c r="G14" s="81">
        <f t="shared" si="1"/>
        <v>0.9065519323671497</v>
      </c>
      <c r="H14" s="81">
        <f t="shared" si="1"/>
        <v>0.8946147762873744</v>
      </c>
      <c r="I14" s="81">
        <f t="shared" si="1"/>
        <v>0.87289744578599171</v>
      </c>
      <c r="J14" s="81">
        <f t="shared" si="1"/>
        <v>0.86061651828881991</v>
      </c>
      <c r="K14" s="81">
        <f t="shared" si="1"/>
        <v>0.83892830470500379</v>
      </c>
      <c r="L14" s="81">
        <f t="shared" si="1"/>
        <v>0.88996926291259004</v>
      </c>
      <c r="M14" s="67"/>
      <c r="N14" s="67"/>
      <c r="O14" s="67"/>
      <c r="P14" s="67"/>
      <c r="Q14" s="67"/>
      <c r="R14" s="67"/>
    </row>
    <row r="15" spans="1:27" x14ac:dyDescent="0.25"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</row>
    <row r="16" spans="1:27" x14ac:dyDescent="0.25">
      <c r="B16" s="67" t="s">
        <v>17</v>
      </c>
      <c r="C16" s="67">
        <v>0</v>
      </c>
      <c r="D16" s="67">
        <v>0.5</v>
      </c>
      <c r="E16" s="67">
        <v>1</v>
      </c>
      <c r="F16" s="67">
        <v>1.5</v>
      </c>
      <c r="G16" s="67">
        <v>2</v>
      </c>
      <c r="H16" s="67">
        <v>2.5</v>
      </c>
      <c r="I16" s="67">
        <v>3</v>
      </c>
      <c r="J16" s="67"/>
      <c r="K16" s="67"/>
      <c r="L16" s="67"/>
      <c r="M16" s="67"/>
      <c r="N16" s="67"/>
      <c r="O16" s="67"/>
      <c r="P16" s="67"/>
      <c r="Q16" s="67"/>
      <c r="R16" s="67"/>
    </row>
    <row r="17" spans="2:19" ht="15.75" thickBot="1" x14ac:dyDescent="0.3">
      <c r="B17" s="67" t="s">
        <v>8</v>
      </c>
      <c r="C17" s="67">
        <v>12</v>
      </c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spans="2:19" ht="15.75" thickBot="1" x14ac:dyDescent="0.3">
      <c r="B18" s="67" t="s">
        <v>9</v>
      </c>
      <c r="C18" s="82">
        <v>0</v>
      </c>
      <c r="D18" s="82">
        <v>1.4079000000000002</v>
      </c>
      <c r="E18" s="82">
        <v>2.9289000000000001</v>
      </c>
      <c r="F18" s="82">
        <v>4.4655000000000005</v>
      </c>
      <c r="G18" s="82">
        <v>6.0930999999999997</v>
      </c>
      <c r="H18" s="82">
        <v>7.8389999999999995</v>
      </c>
      <c r="I18" s="82">
        <v>9.7604000000000006</v>
      </c>
      <c r="J18" s="67"/>
      <c r="K18" s="67"/>
      <c r="L18" s="67"/>
      <c r="M18" s="67"/>
      <c r="N18" s="67"/>
      <c r="O18" s="67"/>
      <c r="P18" s="67"/>
      <c r="Q18" s="67"/>
      <c r="R18" s="67"/>
    </row>
    <row r="19" spans="2:19" ht="15.75" thickBot="1" x14ac:dyDescent="0.3">
      <c r="B19" s="67" t="s">
        <v>13</v>
      </c>
      <c r="C19" s="82">
        <v>34.82</v>
      </c>
      <c r="D19" s="82">
        <v>33.24</v>
      </c>
      <c r="E19" s="82">
        <v>33.19</v>
      </c>
      <c r="F19" s="82">
        <v>33.21</v>
      </c>
      <c r="G19" s="82">
        <v>33.22</v>
      </c>
      <c r="H19" s="82">
        <v>33.21</v>
      </c>
      <c r="I19" s="82">
        <v>33.22</v>
      </c>
      <c r="J19" s="67"/>
      <c r="K19" s="67"/>
      <c r="L19" s="67"/>
      <c r="M19" s="67"/>
      <c r="N19" s="67"/>
      <c r="O19" s="67"/>
      <c r="P19" s="67"/>
      <c r="Q19" s="67"/>
      <c r="R19" s="67"/>
    </row>
    <row r="20" spans="2:19" ht="15.75" thickBot="1" x14ac:dyDescent="0.3">
      <c r="B20" s="67" t="s">
        <v>18</v>
      </c>
      <c r="C20" s="82">
        <v>0</v>
      </c>
      <c r="D20" s="82">
        <v>0.47</v>
      </c>
      <c r="E20" s="82">
        <v>0.96</v>
      </c>
      <c r="F20" s="82">
        <v>1.46</v>
      </c>
      <c r="G20" s="82">
        <v>1.95</v>
      </c>
      <c r="H20" s="82">
        <v>2.4500000000000002</v>
      </c>
      <c r="I20" s="82">
        <v>2.94</v>
      </c>
      <c r="J20" s="67"/>
      <c r="K20" s="67"/>
      <c r="L20" s="67"/>
      <c r="M20" s="67"/>
      <c r="N20" s="67"/>
      <c r="O20" s="67"/>
      <c r="P20" s="67"/>
      <c r="Q20" s="67"/>
      <c r="R20" s="67"/>
    </row>
    <row r="21" spans="2:19" x14ac:dyDescent="0.25">
      <c r="B21" s="67" t="s">
        <v>19</v>
      </c>
      <c r="C21" s="67"/>
      <c r="D21" s="81">
        <f>(D19*D20)/($C$3*D18)</f>
        <v>0.92471056182967515</v>
      </c>
      <c r="E21" s="81">
        <f t="shared" ref="E21:I21" si="2">(E19*E20)/($C$3*E18)</f>
        <v>0.9065519478302434</v>
      </c>
      <c r="F21" s="81">
        <f t="shared" si="2"/>
        <v>0.90483708431306675</v>
      </c>
      <c r="G21" s="81">
        <f t="shared" si="2"/>
        <v>0.88596116919138035</v>
      </c>
      <c r="H21" s="81">
        <f t="shared" si="2"/>
        <v>0.86495407577497141</v>
      </c>
      <c r="I21" s="81">
        <f t="shared" si="2"/>
        <v>0.83386951354452676</v>
      </c>
      <c r="J21" s="67"/>
      <c r="K21" s="67"/>
      <c r="L21" s="67"/>
      <c r="M21" s="67"/>
      <c r="N21" s="67"/>
      <c r="O21" s="67"/>
      <c r="P21" s="67"/>
      <c r="Q21" s="67"/>
      <c r="R21" s="67"/>
    </row>
    <row r="22" spans="2:19" x14ac:dyDescent="0.25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</row>
    <row r="23" spans="2:19" x14ac:dyDescent="0.25">
      <c r="B23" s="85" t="s">
        <v>17</v>
      </c>
      <c r="C23" s="85">
        <v>0</v>
      </c>
      <c r="D23" s="85">
        <v>0.5</v>
      </c>
      <c r="E23" s="85">
        <v>1</v>
      </c>
      <c r="F23" s="85">
        <v>1.5</v>
      </c>
      <c r="G23" s="85">
        <v>2</v>
      </c>
      <c r="H23" s="85">
        <v>2.5</v>
      </c>
      <c r="I23" s="85">
        <v>3</v>
      </c>
      <c r="J23" s="85">
        <v>3.5</v>
      </c>
      <c r="K23" s="85">
        <v>4</v>
      </c>
      <c r="L23" s="85">
        <v>4.5</v>
      </c>
      <c r="M23" s="85">
        <v>5</v>
      </c>
      <c r="N23" s="85">
        <v>5.5</v>
      </c>
      <c r="O23" s="85">
        <v>6</v>
      </c>
      <c r="P23" s="85">
        <v>6.5</v>
      </c>
      <c r="Q23" s="86"/>
      <c r="R23" s="86"/>
      <c r="S23" s="86"/>
    </row>
    <row r="24" spans="2:19" x14ac:dyDescent="0.25">
      <c r="B24" s="85" t="s">
        <v>8</v>
      </c>
      <c r="C24" s="87">
        <v>24</v>
      </c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9"/>
      <c r="R24" s="89"/>
      <c r="S24" s="89"/>
    </row>
    <row r="25" spans="2:19" x14ac:dyDescent="0.25">
      <c r="B25" s="85" t="s">
        <v>9</v>
      </c>
      <c r="C25" s="87">
        <v>0</v>
      </c>
      <c r="D25" s="87">
        <v>0.69680000000000009</v>
      </c>
      <c r="E25" s="87">
        <v>1.4105000000000001</v>
      </c>
      <c r="F25" s="87">
        <v>2.1346000000000003</v>
      </c>
      <c r="G25" s="87">
        <v>2.9119999999999999</v>
      </c>
      <c r="H25" s="87">
        <v>3.6061999999999999</v>
      </c>
      <c r="I25" s="87">
        <v>4.3368000000000002</v>
      </c>
      <c r="J25" s="87">
        <v>5.0882000000000005</v>
      </c>
      <c r="K25" s="87">
        <v>5.8448000000000002</v>
      </c>
      <c r="L25" s="87">
        <v>6.6157000000000004</v>
      </c>
      <c r="M25" s="87">
        <v>7.3957000000000006</v>
      </c>
      <c r="N25" s="87">
        <v>8.1874000000000002</v>
      </c>
      <c r="O25" s="87">
        <v>8.9829999999999988</v>
      </c>
      <c r="P25" s="87">
        <v>9.7981000000000016</v>
      </c>
      <c r="Q25" s="89"/>
      <c r="R25" s="89"/>
      <c r="S25" s="89"/>
    </row>
    <row r="26" spans="2:19" x14ac:dyDescent="0.25">
      <c r="B26" s="85" t="s">
        <v>13</v>
      </c>
      <c r="C26" s="87">
        <v>35.67</v>
      </c>
      <c r="D26" s="87">
        <v>34.67</v>
      </c>
      <c r="E26" s="87">
        <v>34.32</v>
      </c>
      <c r="F26" s="87">
        <v>34.24</v>
      </c>
      <c r="G26" s="87">
        <v>34.26</v>
      </c>
      <c r="H26" s="87">
        <v>34.26</v>
      </c>
      <c r="I26" s="87">
        <v>34.25</v>
      </c>
      <c r="J26" s="87">
        <v>34.24</v>
      </c>
      <c r="K26" s="87">
        <v>34.24</v>
      </c>
      <c r="L26" s="87">
        <v>34.22</v>
      </c>
      <c r="M26" s="87">
        <v>34.22</v>
      </c>
      <c r="N26" s="87">
        <v>34.24</v>
      </c>
      <c r="O26" s="87">
        <v>34.119999999999997</v>
      </c>
      <c r="P26" s="87">
        <v>34.130000000000003</v>
      </c>
      <c r="Q26" s="89"/>
      <c r="R26" s="89"/>
      <c r="S26" s="89"/>
    </row>
    <row r="27" spans="2:19" x14ac:dyDescent="0.25">
      <c r="B27" s="85" t="s">
        <v>18</v>
      </c>
      <c r="C27" s="87">
        <v>0</v>
      </c>
      <c r="D27" s="87">
        <v>0.47</v>
      </c>
      <c r="E27" s="87">
        <v>0.96</v>
      </c>
      <c r="F27" s="87">
        <v>1.46</v>
      </c>
      <c r="G27" s="87">
        <v>1.95</v>
      </c>
      <c r="H27" s="87">
        <v>2.4500000000000002</v>
      </c>
      <c r="I27" s="87">
        <v>2.94</v>
      </c>
      <c r="J27" s="87">
        <v>3.44</v>
      </c>
      <c r="K27" s="87">
        <v>3.93</v>
      </c>
      <c r="L27" s="87">
        <v>4.43</v>
      </c>
      <c r="M27" s="87">
        <v>4.92</v>
      </c>
      <c r="N27" s="87">
        <v>5.41</v>
      </c>
      <c r="O27" s="87">
        <v>5.91</v>
      </c>
      <c r="P27" s="87">
        <v>6.41</v>
      </c>
      <c r="Q27" s="89"/>
      <c r="R27" s="89"/>
      <c r="S27" s="89"/>
    </row>
    <row r="28" spans="2:19" x14ac:dyDescent="0.25">
      <c r="B28" s="85" t="s">
        <v>19</v>
      </c>
      <c r="C28" s="89"/>
      <c r="D28" s="94">
        <f>(D26*D27)/($C$24*D25)</f>
        <v>0.97438887294297716</v>
      </c>
      <c r="E28" s="94">
        <f t="shared" ref="E28:P28" si="3">(E26*E27)/($C$24*E25)</f>
        <v>0.97327188940092157</v>
      </c>
      <c r="F28" s="94">
        <f t="shared" si="3"/>
        <v>0.97579562134982345</v>
      </c>
      <c r="G28" s="94">
        <f t="shared" si="3"/>
        <v>0.95591517857142838</v>
      </c>
      <c r="H28" s="94">
        <f t="shared" si="3"/>
        <v>0.96982280516887576</v>
      </c>
      <c r="I28" s="94">
        <f t="shared" si="3"/>
        <v>0.96744719608928231</v>
      </c>
      <c r="J28" s="94">
        <f t="shared" si="3"/>
        <v>0.9645323166018106</v>
      </c>
      <c r="K28" s="94">
        <f t="shared" si="3"/>
        <v>0.95928004379961684</v>
      </c>
      <c r="L28" s="94">
        <f t="shared" si="3"/>
        <v>0.95476543172554162</v>
      </c>
      <c r="M28" s="94">
        <f t="shared" si="3"/>
        <v>0.94853766377760029</v>
      </c>
      <c r="N28" s="94">
        <f t="shared" si="3"/>
        <v>0.94270057242429428</v>
      </c>
      <c r="O28" s="94">
        <f t="shared" si="3"/>
        <v>0.93532784147834791</v>
      </c>
      <c r="P28" s="94">
        <f t="shared" si="3"/>
        <v>0.93033896027461105</v>
      </c>
      <c r="Q28" s="89"/>
      <c r="R28" s="89"/>
      <c r="S28" s="89"/>
    </row>
    <row r="29" spans="2:19" x14ac:dyDescent="0.25">
      <c r="B29" s="85" t="s">
        <v>17</v>
      </c>
      <c r="C29" s="90">
        <v>0</v>
      </c>
      <c r="D29" s="90">
        <v>0.5</v>
      </c>
      <c r="E29" s="90">
        <v>1</v>
      </c>
      <c r="F29" s="90">
        <v>1.5</v>
      </c>
      <c r="G29" s="90">
        <v>2</v>
      </c>
      <c r="H29" s="90">
        <v>2.5</v>
      </c>
      <c r="I29" s="90">
        <v>3</v>
      </c>
      <c r="J29" s="90">
        <v>3.5</v>
      </c>
      <c r="K29" s="90">
        <v>4</v>
      </c>
      <c r="L29" s="90">
        <v>4.5</v>
      </c>
      <c r="M29" s="90">
        <v>5</v>
      </c>
      <c r="N29" s="90">
        <v>5.5</v>
      </c>
      <c r="O29" s="90">
        <v>6</v>
      </c>
      <c r="P29" s="90">
        <v>6.5</v>
      </c>
      <c r="Q29" s="89"/>
      <c r="R29" s="89"/>
      <c r="S29" s="89"/>
    </row>
    <row r="30" spans="2:19" x14ac:dyDescent="0.25">
      <c r="B30" s="85" t="s">
        <v>8</v>
      </c>
      <c r="C30" s="90">
        <v>30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</row>
    <row r="31" spans="2:19" x14ac:dyDescent="0.25">
      <c r="B31" s="85" t="s">
        <v>9</v>
      </c>
      <c r="C31" s="90">
        <v>0</v>
      </c>
      <c r="D31" s="90">
        <v>0.53690000000000004</v>
      </c>
      <c r="E31" s="90">
        <v>1.1466000000000001</v>
      </c>
      <c r="F31" s="90">
        <v>3.0199000000000003</v>
      </c>
      <c r="G31" s="90">
        <v>2.3413000000000004</v>
      </c>
      <c r="H31" s="90">
        <v>2.8677999999999999</v>
      </c>
      <c r="I31" s="90">
        <v>3.4502000000000002</v>
      </c>
      <c r="J31" s="90">
        <v>4.0442999999999998</v>
      </c>
      <c r="K31" s="90">
        <v>4.6890999999999998</v>
      </c>
      <c r="L31" s="90">
        <v>5.2260000000000009</v>
      </c>
      <c r="M31" s="90">
        <v>5.8266</v>
      </c>
      <c r="N31" s="90">
        <v>6.4350000000000005</v>
      </c>
      <c r="O31" s="90">
        <v>7.0512000000000006</v>
      </c>
      <c r="P31" s="90">
        <v>7.6712999999999996</v>
      </c>
      <c r="Q31" s="90">
        <v>8.2992000000000008</v>
      </c>
      <c r="R31" s="90">
        <v>8.9375</v>
      </c>
      <c r="S31" s="91">
        <v>9.6382000000000012</v>
      </c>
    </row>
    <row r="32" spans="2:19" x14ac:dyDescent="0.25">
      <c r="B32" s="85" t="s">
        <v>13</v>
      </c>
      <c r="C32" s="90">
        <v>35.67</v>
      </c>
      <c r="D32" s="90">
        <v>33.5</v>
      </c>
      <c r="E32" s="90">
        <v>35.19</v>
      </c>
      <c r="F32" s="90">
        <v>34.75</v>
      </c>
      <c r="G32" s="90">
        <v>34.71</v>
      </c>
      <c r="H32" s="90">
        <v>34.69</v>
      </c>
      <c r="I32" s="90">
        <v>34.67</v>
      </c>
      <c r="J32" s="90">
        <v>34.64</v>
      </c>
      <c r="K32" s="90">
        <v>34.630000000000003</v>
      </c>
      <c r="L32" s="90">
        <v>34.61</v>
      </c>
      <c r="M32" s="90">
        <v>34.590000000000003</v>
      </c>
      <c r="N32" s="90">
        <v>34.5</v>
      </c>
      <c r="O32" s="90">
        <v>34.56</v>
      </c>
      <c r="P32" s="90">
        <v>34.549999999999997</v>
      </c>
      <c r="Q32" s="90">
        <v>34.54</v>
      </c>
      <c r="R32" s="90">
        <v>34.53</v>
      </c>
      <c r="S32" s="91">
        <v>33.82</v>
      </c>
    </row>
    <row r="33" spans="2:19" x14ac:dyDescent="0.25">
      <c r="B33" s="85" t="s">
        <v>18</v>
      </c>
      <c r="C33" s="90">
        <v>0</v>
      </c>
      <c r="D33" s="90">
        <v>0.47</v>
      </c>
      <c r="E33" s="90">
        <v>0.96</v>
      </c>
      <c r="F33" s="90">
        <v>1.46</v>
      </c>
      <c r="G33" s="90">
        <v>1.95</v>
      </c>
      <c r="H33" s="90">
        <v>2.4500000000000002</v>
      </c>
      <c r="I33" s="90">
        <v>2.94</v>
      </c>
      <c r="J33" s="90">
        <v>3.44</v>
      </c>
      <c r="K33" s="90">
        <v>3.93</v>
      </c>
      <c r="L33" s="90">
        <v>4.43</v>
      </c>
      <c r="M33" s="90">
        <v>4.92</v>
      </c>
      <c r="N33" s="90">
        <v>5.41</v>
      </c>
      <c r="O33" s="90">
        <v>5.91</v>
      </c>
      <c r="P33" s="92">
        <v>6.4052000000000007</v>
      </c>
      <c r="Q33" s="92">
        <v>6.9010000000000007</v>
      </c>
      <c r="R33" s="89">
        <v>7.41</v>
      </c>
      <c r="S33" s="91">
        <v>7.9328000000000003</v>
      </c>
    </row>
    <row r="34" spans="2:19" ht="15.75" thickBot="1" x14ac:dyDescent="0.3">
      <c r="B34" s="85" t="s">
        <v>19</v>
      </c>
      <c r="C34" s="89"/>
      <c r="D34" s="94">
        <f>(D32*D33)/($C$30*D31)</f>
        <v>0.97752529955919765</v>
      </c>
      <c r="E34" s="94">
        <f t="shared" ref="E34:S34" si="4">(E32*E33)/($C$30*E31)</f>
        <v>0.98210361067503904</v>
      </c>
      <c r="F34" s="94">
        <f t="shared" si="4"/>
        <v>0.56000750576729907</v>
      </c>
      <c r="G34" s="94">
        <f t="shared" si="4"/>
        <v>0.96363131593559126</v>
      </c>
      <c r="H34" s="94">
        <f t="shared" si="4"/>
        <v>0.98787107422646869</v>
      </c>
      <c r="I34" s="94">
        <f t="shared" si="4"/>
        <v>0.98477189728131698</v>
      </c>
      <c r="J34" s="94">
        <f t="shared" si="4"/>
        <v>0.98213617519307017</v>
      </c>
      <c r="K34" s="94">
        <f t="shared" si="4"/>
        <v>0.9674628393508351</v>
      </c>
      <c r="L34" s="94">
        <f t="shared" si="4"/>
        <v>0.97794552876642404</v>
      </c>
      <c r="M34" s="94">
        <f t="shared" si="4"/>
        <v>0.97359695191020501</v>
      </c>
      <c r="N34" s="94">
        <f t="shared" si="4"/>
        <v>0.96682206682206684</v>
      </c>
      <c r="O34" s="94">
        <f t="shared" si="4"/>
        <v>0.96555479918311771</v>
      </c>
      <c r="P34" s="94">
        <f t="shared" si="4"/>
        <v>0.96159129917137054</v>
      </c>
      <c r="Q34" s="94">
        <f t="shared" si="4"/>
        <v>0.957363520981942</v>
      </c>
      <c r="R34" s="94">
        <f t="shared" si="4"/>
        <v>0.95428363636363633</v>
      </c>
      <c r="S34" s="94">
        <f t="shared" si="4"/>
        <v>0.92786099755832696</v>
      </c>
    </row>
    <row r="35" spans="2:19" ht="15.75" thickBot="1" x14ac:dyDescent="0.3">
      <c r="B35" s="82" t="s">
        <v>17</v>
      </c>
      <c r="C35" s="82">
        <v>0</v>
      </c>
      <c r="D35" s="82">
        <v>0.5</v>
      </c>
      <c r="E35" s="82">
        <v>1</v>
      </c>
      <c r="F35" s="82">
        <v>1.5</v>
      </c>
      <c r="G35" s="82">
        <v>2</v>
      </c>
      <c r="H35" s="82">
        <v>2.5</v>
      </c>
      <c r="I35" s="82">
        <v>3</v>
      </c>
      <c r="J35" s="82">
        <v>3.5</v>
      </c>
      <c r="K35" s="82">
        <v>4</v>
      </c>
      <c r="L35" s="82">
        <v>4.5</v>
      </c>
      <c r="M35" s="82">
        <v>5</v>
      </c>
      <c r="N35" s="82">
        <v>5.5</v>
      </c>
      <c r="O35" s="82">
        <v>6</v>
      </c>
      <c r="P35" s="82">
        <v>6.5</v>
      </c>
      <c r="Q35" s="82">
        <v>7</v>
      </c>
      <c r="R35" s="82">
        <v>7.5</v>
      </c>
      <c r="S35" s="93"/>
    </row>
    <row r="36" spans="2:19" ht="15.75" thickBot="1" x14ac:dyDescent="0.3">
      <c r="B36" s="82" t="s">
        <v>8</v>
      </c>
      <c r="C36" s="82">
        <v>24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</row>
    <row r="37" spans="2:19" ht="15.75" thickBot="1" x14ac:dyDescent="0.3">
      <c r="B37" s="82" t="s">
        <v>9</v>
      </c>
      <c r="C37" s="82">
        <v>0</v>
      </c>
      <c r="D37" s="82">
        <v>0.62</v>
      </c>
      <c r="E37" s="82">
        <v>1.24</v>
      </c>
      <c r="F37" s="82">
        <v>1.86</v>
      </c>
      <c r="G37" s="82">
        <v>2.4900000000000002</v>
      </c>
      <c r="H37" s="82">
        <v>3.13</v>
      </c>
      <c r="I37" s="82">
        <v>3.76</v>
      </c>
      <c r="J37" s="82">
        <v>4.4000000000000004</v>
      </c>
      <c r="K37" s="82">
        <v>5.05</v>
      </c>
      <c r="L37" s="82">
        <v>5.72</v>
      </c>
      <c r="M37" s="82">
        <v>6.38</v>
      </c>
      <c r="N37" s="82">
        <v>7.06</v>
      </c>
      <c r="O37" s="82">
        <v>7.74</v>
      </c>
      <c r="P37" s="82">
        <v>8.44</v>
      </c>
      <c r="Q37" s="82">
        <v>9.15</v>
      </c>
      <c r="R37" s="82">
        <v>9.86</v>
      </c>
    </row>
    <row r="38" spans="2:19" ht="15.75" thickBot="1" x14ac:dyDescent="0.3">
      <c r="B38" s="82" t="s">
        <v>13</v>
      </c>
      <c r="C38" s="82">
        <v>30.73</v>
      </c>
      <c r="D38" s="82">
        <v>30.15</v>
      </c>
      <c r="E38" s="82">
        <v>29.49</v>
      </c>
      <c r="F38" s="82">
        <v>29.3</v>
      </c>
      <c r="G38" s="82">
        <v>29.32</v>
      </c>
      <c r="H38" s="82">
        <v>29.3</v>
      </c>
      <c r="I38" s="82">
        <v>29.29</v>
      </c>
      <c r="J38" s="82">
        <v>29.28</v>
      </c>
      <c r="K38" s="82">
        <v>29.26</v>
      </c>
      <c r="L38" s="82">
        <v>29.27</v>
      </c>
      <c r="M38" s="82">
        <v>29.25</v>
      </c>
      <c r="N38" s="82">
        <v>29.23</v>
      </c>
      <c r="O38" s="82">
        <v>29.22</v>
      </c>
      <c r="P38" s="82">
        <v>29.22</v>
      </c>
      <c r="Q38" s="82">
        <v>29.19</v>
      </c>
      <c r="R38" s="82">
        <v>29.16</v>
      </c>
    </row>
    <row r="39" spans="2:19" ht="15.75" thickBot="1" x14ac:dyDescent="0.3">
      <c r="B39" s="82" t="s">
        <v>18</v>
      </c>
      <c r="C39" s="82">
        <v>0</v>
      </c>
      <c r="D39" s="82">
        <v>0.47</v>
      </c>
      <c r="E39" s="82">
        <v>0.96</v>
      </c>
      <c r="F39" s="82">
        <v>1.46</v>
      </c>
      <c r="G39" s="82">
        <v>1.95</v>
      </c>
      <c r="H39" s="82">
        <v>2.4500000000000002</v>
      </c>
      <c r="I39" s="82">
        <v>2.94</v>
      </c>
      <c r="J39" s="82">
        <v>3.44</v>
      </c>
      <c r="K39" s="82">
        <v>3.93</v>
      </c>
      <c r="L39" s="82">
        <v>4.43</v>
      </c>
      <c r="M39" s="82">
        <v>4.92</v>
      </c>
      <c r="N39" s="82">
        <v>5.41</v>
      </c>
      <c r="O39" s="82">
        <v>5.91</v>
      </c>
      <c r="P39" s="82">
        <v>6.41</v>
      </c>
      <c r="Q39" s="82">
        <v>6.9</v>
      </c>
      <c r="R39" s="82">
        <v>7.39</v>
      </c>
    </row>
    <row r="40" spans="2:19" ht="15.75" thickBot="1" x14ac:dyDescent="0.3">
      <c r="B40" s="82" t="s">
        <v>19</v>
      </c>
      <c r="C40" s="83"/>
      <c r="D40" s="84">
        <v>0.95</v>
      </c>
      <c r="E40" s="84">
        <v>0.96</v>
      </c>
      <c r="F40" s="84">
        <v>0.96</v>
      </c>
      <c r="G40" s="84">
        <v>0.96</v>
      </c>
      <c r="H40" s="84">
        <v>0.95</v>
      </c>
      <c r="I40" s="84">
        <v>0.95</v>
      </c>
      <c r="J40" s="84">
        <v>0.95</v>
      </c>
      <c r="K40" s="84">
        <v>0.95</v>
      </c>
      <c r="L40" s="84">
        <v>0.94</v>
      </c>
      <c r="M40" s="84">
        <v>0.94</v>
      </c>
      <c r="N40" s="84">
        <v>0.93</v>
      </c>
      <c r="O40" s="84">
        <v>0.93</v>
      </c>
      <c r="P40" s="84">
        <v>0.92</v>
      </c>
      <c r="Q40" s="84">
        <v>0.92</v>
      </c>
      <c r="R40" s="84">
        <v>0.91</v>
      </c>
    </row>
  </sheetData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将輝 林</dc:creator>
  <cp:lastModifiedBy>将輝 林</cp:lastModifiedBy>
  <dcterms:created xsi:type="dcterms:W3CDTF">2025-08-28T14:26:57Z</dcterms:created>
  <dcterms:modified xsi:type="dcterms:W3CDTF">2025-09-11T14:18:42Z</dcterms:modified>
</cp:coreProperties>
</file>